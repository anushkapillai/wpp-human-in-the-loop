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Model" sheetId="3" state="visible" r:id="rId5"/>
    <sheet name="Summary" sheetId="4" state="visible" r:id="rId6"/>
    <sheet name="Sensitivity" sheetId="5" state="visible" r:id="rId7"/>
    <sheet name="Checks"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<sst xmlns="http://schemas.openxmlformats.org/spreadsheetml/2006/main" count="316" uniqueCount="252">
  <si>
    <t xml:space="preserve">WPP: Where Humans Stay in the Loop. Deliverable 8: Impact model</t>
  </si>
  <si>
    <t xml:space="preserve">Purpose</t>
  </si>
  <si>
    <t xml:space="preserve">Estimates how much elapsed time and hands-on cost the recommended three-lane, four-gate workflow (option B, Deliverables 6 and 7) could release for one campaign wave, against today's workflow (Deliverables 4 and 5), under three scenarios.</t>
  </si>
  <si>
    <t xml:space="preserve">Status</t>
  </si>
  <si>
    <t xml:space="preserve">Independent portfolio analysis using public information only. Not affiliated with or endorsed by WPP. WPP does not publish production volumes, hours or savings, so EVERY number except the cited facts is an ILLUSTRATIVE ASSUMPTION. Use the model to see what must be true, not as a forecast.</t>
  </si>
  <si>
    <t xml:space="preserve">How to use</t>
  </si>
  <si>
    <t xml:space="preserve">Change only the blue cells on the Inputs sheet. Every other sheet recalculates. Yellow cells are the assumptions that matter most.</t>
  </si>
  <si>
    <t xml:space="preserve">Colour code</t>
  </si>
  <si>
    <t xml:space="preserve">Blue text = input you can change. Black text = formula. Yellow fill = key assumption.</t>
  </si>
  <si>
    <t xml:space="preserve">Sheets</t>
  </si>
  <si>
    <t xml:space="preserve">Inputs: all assumptions. Model: hours, cost and days for today, the three scenarios and option A. Summary: headline results and charts. Sensitivity: one-at-a-time tests, the low-review-share test and payback by volume. Checks: tests that the model reconciles. Sources: where each cited fact comes from.</t>
  </si>
  <si>
    <t xml:space="preserve">Case</t>
  </si>
  <si>
    <t xml:space="preserve">One approved master campaign adapted for 20 markets, 6 channels and 4 versions each, which is 480 assets (one wave). Hours per asset and days come from Deliverables 4 and 5.</t>
  </si>
  <si>
    <t xml:space="preserve">Method</t>
  </si>
  <si>
    <t xml:space="preserve">Hours per asset = Lane 1 + Lane 2 + Lane 3 + rework + sample checks + rules set-up, each adjusted by scenario inputs. Cost per asset = hours x cost per hour + AI tool cost + platform cost per asset. Elapsed days = days outside review + days in review, approval and rework, taken stage by stage from Deliverable 7. Annual figures multiply the per-wave result by the number of waves in scope. No discounting.</t>
  </si>
  <si>
    <t xml:space="preserve">Important</t>
  </si>
  <si>
    <t xml:space="preserve">Hours released are capacity, not cash. They become savings only if the capacity is redeployed to other work or volume grows. WPP says WPP Production does not anticipate layoffs [11]. The unattributed claim of "up to 70%" faster production [6] is not used as a scenario input; it is shown for reference on the Summary sheet.</t>
  </si>
  <si>
    <t xml:space="preserve">Limits</t>
  </si>
  <si>
    <t xml:space="preserve">Single case, single rate card, no discounting, no client-side value from faster delivery, no change in volume from the new workflow, and one-off costs are placeholders.</t>
  </si>
  <si>
    <t xml:space="preserve">Inputs and assumptions</t>
  </si>
  <si>
    <t xml:space="preserve">Blue = edit me. Yellow = key assumption. All figures are illustrative assumptions unless a source is shown.</t>
  </si>
  <si>
    <t xml:space="preserve">Case and rates</t>
  </si>
  <si>
    <t xml:space="preserve">Unit</t>
  </si>
  <si>
    <t xml:space="preserve">Value</t>
  </si>
  <si>
    <t xml:space="preserve">Basis</t>
  </si>
  <si>
    <t xml:space="preserve">Case size and rates</t>
  </si>
  <si>
    <t xml:space="preserve">Markets</t>
  </si>
  <si>
    <t xml:space="preserve">number</t>
  </si>
  <si>
    <t xml:space="preserve">ASSUMPTION (Deliverable 4): a large global brand.</t>
  </si>
  <si>
    <t xml:space="preserve">Channels</t>
  </si>
  <si>
    <t xml:space="preserve">ASSUMPTION (Deliverable 4).</t>
  </si>
  <si>
    <t xml:space="preserve">Versions per market and channel</t>
  </si>
  <si>
    <t xml:space="preserve">Assets per wave</t>
  </si>
  <si>
    <t xml:space="preserve">Formula: 20 x 6 x 4 = 480.</t>
  </si>
  <si>
    <t xml:space="preserve">Blended cost per hour</t>
  </si>
  <si>
    <t xml:space="preserve">£</t>
  </si>
  <si>
    <t xml:space="preserve">ASSUMPTION (Deliverable 4): illustrative rate card, no public source.</t>
  </si>
  <si>
    <t xml:space="preserve">Productive hours per full-time person per year</t>
  </si>
  <si>
    <t xml:space="preserve">hours</t>
  </si>
  <si>
    <t xml:space="preserve">ASSUMPTION: used only to convert hours into full-time equivalents.</t>
  </si>
  <si>
    <t xml:space="preserve">Waves of this size in scope per year at full rollout</t>
  </si>
  <si>
    <t xml:space="preserve">ASSUMPTION: for example 12 clients with 5 waves each. WPP publishes no volumes [11][12]. Tested from 10 to 100 on Sensitivity.</t>
  </si>
  <si>
    <t xml:space="preserve">Today (from Deliverables 4 and 5)</t>
  </si>
  <si>
    <t xml:space="preserve">Lane 1 hands-on hours per asset</t>
  </si>
  <si>
    <t xml:space="preserve">Deliverable 5: tasks T2, T4, T7, T8, T12.</t>
  </si>
  <si>
    <t xml:space="preserve">Lane 2 hands-on hours per asset</t>
  </si>
  <si>
    <t xml:space="preserve">Deliverable 5: tasks T1, T3, T5, T6, T11.</t>
  </si>
  <si>
    <t xml:space="preserve">Lane 3 hands-on hours per asset</t>
  </si>
  <si>
    <t xml:space="preserve">Deliverable 5: tasks T9, T10, T13.</t>
  </si>
  <si>
    <t xml:space="preserve">Share of assets reworked today</t>
  </si>
  <si>
    <t xml:space="preserve">%</t>
  </si>
  <si>
    <t xml:space="preserve">ASSUMPTION (Deliverable 4): about 1 in 3.</t>
  </si>
  <si>
    <t xml:space="preserve">Hands-on hours per reworked asset</t>
  </si>
  <si>
    <t xml:space="preserve">ASSUMPTION: chosen so that rework averages 0.6 hours per asset (Deliverable 5).</t>
  </si>
  <si>
    <t xml:space="preserve">Rework hours per asset today</t>
  </si>
  <si>
    <t xml:space="preserve">Formula.</t>
  </si>
  <si>
    <t xml:space="preserve">Hands-on hours per asset today</t>
  </si>
  <si>
    <t xml:space="preserve">Formula: 3.2 hours.</t>
  </si>
  <si>
    <t xml:space="preserve">Days today outside review, approval and rework</t>
  </si>
  <si>
    <t xml:space="preserve">days</t>
  </si>
  <si>
    <t xml:space="preserve">Deliverable 4: 28 days less 15.</t>
  </si>
  <si>
    <t xml:space="preserve">Days today in review, approval and rework</t>
  </si>
  <si>
    <t xml:space="preserve">ASSUMPTION built to fit survey signals [9]; tested on Sensitivity (Deliverable 4 caution).</t>
  </si>
  <si>
    <t xml:space="preserve">Total days today</t>
  </si>
  <si>
    <t xml:space="preserve">Formula: 28 days.</t>
  </si>
  <si>
    <t xml:space="preserve">Scenario inputs</t>
  </si>
  <si>
    <t xml:space="preserve">Cautious</t>
  </si>
  <si>
    <t xml:space="preserve">Central</t>
  </si>
  <si>
    <t xml:space="preserve">Optimistic</t>
  </si>
  <si>
    <t xml:space="preserve">Hands-on hours</t>
  </si>
  <si>
    <t xml:space="preserve">Lane 1 hours cut by AI working under agreed rules</t>
  </si>
  <si>
    <t xml:space="preserve">ASSUMPTION. Lane 1 tasks are repeatable and rule-bound (Deliverable 5). 70% matches the unattributed "up to 70%" claim [6] and is used only in the optimistic case.</t>
  </si>
  <si>
    <t xml:space="preserve">Lane 2 hours cut by AI drafting with people finishing</t>
  </si>
  <si>
    <t xml:space="preserve">ASSUMPTION. AI drafts, people edit; the saving is smaller than in Lane 1.</t>
  </si>
  <si>
    <t xml:space="preserve">Change in Lane 3 hours (positive = more)</t>
  </si>
  <si>
    <t xml:space="preserve">ASSUMPTION. Every Lane 3 item is still checked by a person; logs and tools may add or save a little time.</t>
  </si>
  <si>
    <t xml:space="preserve">Share of assets reworked in the new design</t>
  </si>
  <si>
    <t xml:space="preserve">ASSUMPTION. Earlier approval of rules and a first sample should cut changes late in the cycle [9].</t>
  </si>
  <si>
    <t xml:space="preserve">Share of assets sampled at the gates</t>
  </si>
  <si>
    <t xml:space="preserve">ASSUMPTION (Deliverable 7): about 1 in 10.</t>
  </si>
  <si>
    <t xml:space="preserve">Hours to check each sampled asset</t>
  </si>
  <si>
    <t xml:space="preserve">ASSUMPTION.</t>
  </si>
  <si>
    <t xml:space="preserve">Hours to set up rules and pattern, per wave</t>
  </si>
  <si>
    <t xml:space="preserve">ASSUMPTION. Writing brand and AI-use rules as checkable rules; higher in a first wave for a client.</t>
  </si>
  <si>
    <t xml:space="preserve">Other costs</t>
  </si>
  <si>
    <t xml:space="preserve">AI tool cost per asset</t>
  </si>
  <si>
    <t xml:space="preserve">ASSUMPTION. Generation, translation and checking services.</t>
  </si>
  <si>
    <t xml:space="preserve">Platform and licences allocated per wave</t>
  </si>
  <si>
    <t xml:space="preserve">ASSUMPTION. WPP already runs WPP Open [10], so this is only the extra cost allocated to a wave.</t>
  </si>
  <si>
    <t xml:space="preserve">One-off programme cost</t>
  </si>
  <si>
    <t xml:space="preserve">ASSUMPTION. Pilot, rules library, integration and training. Placeholder.</t>
  </si>
  <si>
    <t xml:space="preserve">Elapsed days in the new design (Deliverable 7, working days)</t>
  </si>
  <si>
    <t xml:space="preserve">Set the rules and brief (Gate 1)</t>
  </si>
  <si>
    <t xml:space="preserve">Deliverable 7 central: 3.</t>
  </si>
  <si>
    <t xml:space="preserve">Prove the pattern, excluding the Gate 2 decision</t>
  </si>
  <si>
    <t xml:space="preserve">Deliverable 7 central: 2 of the 3 days.</t>
  </si>
  <si>
    <t xml:space="preserve">Produce in Lanes 1 and 2</t>
  </si>
  <si>
    <t xml:space="preserve">Deliverable 7 central: 4.</t>
  </si>
  <si>
    <t xml:space="preserve">Deliver</t>
  </si>
  <si>
    <t xml:space="preserve">Deliverable 7 central: 1.</t>
  </si>
  <si>
    <t xml:space="preserve">Gate 2 decision (review)</t>
  </si>
  <si>
    <t xml:space="preserve">Gate 3 check (review)</t>
  </si>
  <si>
    <t xml:space="preserve">Deliverable 7 central: 2.</t>
  </si>
  <si>
    <t xml:space="preserve">Rework after Gate 3 (rework)</t>
  </si>
  <si>
    <t xml:space="preserve">Client review at Gate 4 (review)</t>
  </si>
  <si>
    <t xml:space="preserve">Rework after Gate 4 (rework)</t>
  </si>
  <si>
    <t xml:space="preserve">Option A (bolt-on AI tools in today's workflow), central assumptions</t>
  </si>
  <si>
    <t xml:space="preserve">Lane 1 hours cut</t>
  </si>
  <si>
    <t xml:space="preserve">ASSUMPTION. Tools used without shared rules or earlier approval save less than under option B.</t>
  </si>
  <si>
    <t xml:space="preserve">Lane 2 hours cut</t>
  </si>
  <si>
    <t xml:space="preserve">Days outside review, approval and rework</t>
  </si>
  <si>
    <t xml:space="preserve">ASSUMPTION: making steps get 2 days faster.</t>
  </si>
  <si>
    <t xml:space="preserve">Days in review, approval and rework</t>
  </si>
  <si>
    <t xml:space="preserve">Unchanged: review is not redesigned.</t>
  </si>
  <si>
    <t xml:space="preserve">Model: hours, cost and days per wave</t>
  </si>
  <si>
    <t xml:space="preserve">All cells are formulas. Edit the Inputs sheet only. Columns: today, the three scenarios for option B, and option A (central).</t>
  </si>
  <si>
    <t xml:space="preserve">Per asset unless stated</t>
  </si>
  <si>
    <t xml:space="preserve">Today</t>
  </si>
  <si>
    <t xml:space="preserve">Option A (bolt-on, central)</t>
  </si>
  <si>
    <t xml:space="preserve">Hands-on hours per asset</t>
  </si>
  <si>
    <t xml:space="preserve">Lane 1: repeatable work (AI under rules)</t>
  </si>
  <si>
    <t xml:space="preserve">Lane 2: AI drafts, people finish</t>
  </si>
  <si>
    <t xml:space="preserve">Lane 3: people decide</t>
  </si>
  <si>
    <t xml:space="preserve">Rework after review</t>
  </si>
  <si>
    <t xml:space="preserve">Sample checks at gates</t>
  </si>
  <si>
    <t xml:space="preserve">Rules and pattern set-up (per asset)</t>
  </si>
  <si>
    <t xml:space="preserve">Total hands-on hours per asset</t>
  </si>
  <si>
    <t xml:space="preserve">Change against today</t>
  </si>
  <si>
    <t xml:space="preserve">Cost per asset (£)</t>
  </si>
  <si>
    <t xml:space="preserve">Hands-on cost</t>
  </si>
  <si>
    <t xml:space="preserve">AI tool cost</t>
  </si>
  <si>
    <t xml:space="preserve">Platform and licences (per asset)</t>
  </si>
  <si>
    <t xml:space="preserve">Total cost per asset</t>
  </si>
  <si>
    <t xml:space="preserve">Cost of one wave (£)</t>
  </si>
  <si>
    <t xml:space="preserve">Hours and cost released</t>
  </si>
  <si>
    <t xml:space="preserve">Hours saved per asset</t>
  </si>
  <si>
    <t xml:space="preserve">Hours saved per wave</t>
  </si>
  <si>
    <t xml:space="preserve">Net cost saved per wave (£)</t>
  </si>
  <si>
    <t xml:space="preserve">Hours saved per year at full rollout</t>
  </si>
  <si>
    <t xml:space="preserve">Capacity released (full-time equivalents)</t>
  </si>
  <si>
    <t xml:space="preserve">Net cost saved per year (£)</t>
  </si>
  <si>
    <t xml:space="preserve">One-off programme cost (£)</t>
  </si>
  <si>
    <t xml:space="preserve">n/a</t>
  </si>
  <si>
    <t xml:space="preserve">Payback (months)</t>
  </si>
  <si>
    <t xml:space="preserve">Elapsed time (working days)</t>
  </si>
  <si>
    <t xml:space="preserve">Total days</t>
  </si>
  <si>
    <t xml:space="preserve">Review share of days</t>
  </si>
  <si>
    <t xml:space="preserve">Where the hours saved come from (per asset)</t>
  </si>
  <si>
    <t xml:space="preserve">Lane 1 automation</t>
  </si>
  <si>
    <t xml:space="preserve">Lane 2 AI drafting</t>
  </si>
  <si>
    <t xml:space="preserve">Lane 3 change</t>
  </si>
  <si>
    <t xml:space="preserve">Fewer reworked assets</t>
  </si>
  <si>
    <t xml:space="preserve">Added sample-check and set-up hours</t>
  </si>
  <si>
    <t xml:space="preserve">Net hours saved per asset</t>
  </si>
  <si>
    <t xml:space="preserve">Share of net saving from Lane 1 and 2 work</t>
  </si>
  <si>
    <t xml:space="preserve">Share of net saving from fewer reworked assets</t>
  </si>
  <si>
    <t xml:space="preserve">Where the days saved come from</t>
  </si>
  <si>
    <t xml:space="preserve">Days saved in review, approval and rework</t>
  </si>
  <si>
    <t xml:space="preserve">Days saved elsewhere</t>
  </si>
  <si>
    <t xml:space="preserve">Total days saved</t>
  </si>
  <si>
    <t xml:space="preserve">Share of days saved from review, approval and rework</t>
  </si>
  <si>
    <t xml:space="preserve">Summary: what the redesign could release per campaign wave</t>
  </si>
  <si>
    <t xml:space="preserve">Illustrative results linked from the Model sheet. Not WPP data.</t>
  </si>
  <si>
    <t xml:space="preserve">Measure</t>
  </si>
  <si>
    <t xml:space="preserve">Option A (central)</t>
  </si>
  <si>
    <t xml:space="preserve">Total cost per asset (£)</t>
  </si>
  <si>
    <t xml:space="preserve">Cost per asset: change against today</t>
  </si>
  <si>
    <t xml:space="preserve">Elapsed working days per wave</t>
  </si>
  <si>
    <t xml:space="preserve">Elapsed days: change against today</t>
  </si>
  <si>
    <t xml:space="preserve">Capacity released per year (full-time equivalents)</t>
  </si>
  <si>
    <t xml:space="preserve">Payback on one-off cost (months)</t>
  </si>
  <si>
    <t xml:space="preserve">Share of net hours saved from Lane 1 and 2 work</t>
  </si>
  <si>
    <t xml:space="preserve">Share of net hours saved from fewer reworked assets</t>
  </si>
  <si>
    <t xml:space="preserve">Reference only: the unattributed claim of up to 70% faster content production [6] would imply this many days</t>
  </si>
  <si>
    <t xml:space="preserve">Note: capacity released is not cash. WPP says it does not anticipate layoffs in WPP Production [11].</t>
  </si>
  <si>
    <t xml:space="preserve">Sensitivity: what moves the answer</t>
  </si>
  <si>
    <t xml:space="preserve">All cells are formulas on the central scenario. Each test changes one input at a time.</t>
  </si>
  <si>
    <t xml:space="preserve">A. Cost per asset saving (against today) when one input moves from its cautious to its optimistic value, other inputs central</t>
  </si>
  <si>
    <t xml:space="preserve">Input</t>
  </si>
  <si>
    <t xml:space="preserve">Cautious value</t>
  </si>
  <si>
    <t xml:space="preserve">Central value</t>
  </si>
  <si>
    <t xml:space="preserve">Optimistic value</t>
  </si>
  <si>
    <t xml:space="preserve">Saving at cautious value</t>
  </si>
  <si>
    <t xml:space="preserve">Saving at optimistic value</t>
  </si>
  <si>
    <t xml:space="preserve">Swing (points)</t>
  </si>
  <si>
    <t xml:space="preserve">Change in Lane 3 hours</t>
  </si>
  <si>
    <t xml:space="preserve">Share reworked in new design</t>
  </si>
  <si>
    <t xml:space="preserve">Share sampled at gates</t>
  </si>
  <si>
    <t xml:space="preserve">Hours per sampled asset</t>
  </si>
  <si>
    <t xml:space="preserve">Set-up hours per wave</t>
  </si>
  <si>
    <t xml:space="preserve">Platform cost per wave</t>
  </si>
  <si>
    <t xml:space="preserve">Central saving (all inputs central)</t>
  </si>
  <si>
    <t xml:space="preserve">B. The low-review-share test: what if review is a smaller share of today's 28 days than assumed? (central cut rates held constant)</t>
  </si>
  <si>
    <t xml:space="preserve">Review share of today's days</t>
  </si>
  <si>
    <t xml:space="preserve">Review days today</t>
  </si>
  <si>
    <t xml:space="preserve">Other days today</t>
  </si>
  <si>
    <t xml:space="preserve">Days saved in review</t>
  </si>
  <si>
    <t xml:space="preserve">Total saving as % of today's days</t>
  </si>
  <si>
    <t xml:space="preserve">Share of days saved from review</t>
  </si>
  <si>
    <t xml:space="preserve">Cut in review days (central)</t>
  </si>
  <si>
    <t xml:space="preserve">Cut in other days (central)</t>
  </si>
  <si>
    <t xml:space="preserve">C. Payback by volume: net cost saved per year and payback on the one-off cost</t>
  </si>
  <si>
    <t xml:space="preserve">Waves of this size per year</t>
  </si>
  <si>
    <t xml:space="preserve">Cautious: saved per year (£)</t>
  </si>
  <si>
    <t xml:space="preserve">Central: saved per year (£)</t>
  </si>
  <si>
    <t xml:space="preserve">Optimistic: saved per year (£)</t>
  </si>
  <si>
    <t xml:space="preserve">Cautious: payback (months)</t>
  </si>
  <si>
    <t xml:space="preserve">Central: payback (months)</t>
  </si>
  <si>
    <t xml:space="preserve">Optimistic: payback (months)</t>
  </si>
  <si>
    <t xml:space="preserve">Checks</t>
  </si>
  <si>
    <t xml:space="preserve">Each test should read OK. Tests 1 to 5 compare against the default inputs and will read CHECK if you change those inputs; that is expected.</t>
  </si>
  <si>
    <t xml:space="preserve">Test</t>
  </si>
  <si>
    <t xml:space="preserve">Result</t>
  </si>
  <si>
    <t xml:space="preserve">1. Assets per wave equal 480</t>
  </si>
  <si>
    <t xml:space="preserve">2. Hands-on hours per asset today equal 3.2</t>
  </si>
  <si>
    <t xml:space="preserve">3. Hands-on cost of one wave today equals £92,160</t>
  </si>
  <si>
    <t xml:space="preserve">4. Total days today equal 28</t>
  </si>
  <si>
    <t xml:space="preserve">5. Central days equal 18 (Deliverable 7)</t>
  </si>
  <si>
    <t xml:space="preserve">6. Hours saved by source add up to total hours saved (all scenarios)</t>
  </si>
  <si>
    <t xml:space="preserve">7. Days saved by source add up to total days saved</t>
  </si>
  <si>
    <t xml:space="preserve">8. Cost saving rises from cautious to central to optimistic</t>
  </si>
  <si>
    <t xml:space="preserve">9. Days saved rise from cautious to central to optimistic</t>
  </si>
  <si>
    <t xml:space="preserve">10. Option A saves less cost and fewer days than option B (central)</t>
  </si>
  <si>
    <t xml:space="preserve">11. Low-review-share test at the base share reproduces central days saved</t>
  </si>
  <si>
    <t xml:space="preserve">12. Sensitivity central saving equals Model central saving</t>
  </si>
  <si>
    <t xml:space="preserve">Overall</t>
  </si>
  <si>
    <t xml:space="preserve">Information: central cost saving is inside the starting range of 20% to 30% from the project outline</t>
  </si>
  <si>
    <t xml:space="preserve">Information: central days saved are inside the starting range of 30% to 45%</t>
  </si>
  <si>
    <t xml:space="preserve">Sources used for cited facts (numbers match the Source Log, Deliverable 1)</t>
  </si>
  <si>
    <t xml:space="preserve">Ref</t>
  </si>
  <si>
    <t xml:space="preserve">Fact used</t>
  </si>
  <si>
    <t xml:space="preserve">Source</t>
  </si>
  <si>
    <t xml:space="preserve">Note</t>
  </si>
  <si>
    <t xml:space="preserve">Unattributed claim of up to 70% faster content production and double asset utilisation</t>
  </si>
  <si>
    <t xml:space="preserve">Campaign Asia, WPP bets on $400 million Google AI alliance</t>
  </si>
  <si>
    <t xml:space="preserve">Headline only; used as a reference, never as a scenario input.</t>
  </si>
  <si>
    <t xml:space="preserve">46% say content gets stuck in review, 41% say it stalls in approvals, 70% say slowdowns affect revenue work; 96% say human oversight is critical</t>
  </si>
  <si>
    <t xml:space="preserve">PhotoShelter survey reported by CMOtech UK, 18 Mar 2026</t>
  </si>
  <si>
    <t xml:space="preserve">Vendor survey of 388 US professionals; gives no days.</t>
  </si>
  <si>
    <t xml:space="preserve">WPP Open used monthly by 70,000 staff; £500m annualised savings plan; AI investment</t>
  </si>
  <si>
    <t xml:space="preserve">WPP 2025 preliminary results (RNS), 26 Feb 2026</t>
  </si>
  <si>
    <t xml:space="preserve">WPP's own publication.</t>
  </si>
  <si>
    <t xml:space="preserve">WPP Production formed Jan to Feb 2026; "does not anticipate layoffs"; production logistics the main constraint</t>
  </si>
  <si>
    <t xml:space="preserve">eMarketer, 30 Jan 2026</t>
  </si>
  <si>
    <t xml:space="preserve">No cost or time savings quoted.</t>
  </si>
  <si>
    <t xml:space="preserve">WPP Production: faster turnaround and greater cost efficiency, no quantified targets</t>
  </si>
  <si>
    <t xml:space="preserve">Mediaweek, 23 Jan 2026</t>
  </si>
  <si>
    <t xml:space="preserve">No quantified targets.</t>
  </si>
  <si>
    <t xml:space="preserve">D4/D5/D7</t>
  </si>
  <si>
    <t xml:space="preserve">Hours per asset, lane split, 28 days, 15 review days, 18-day design target</t>
  </si>
  <si>
    <t xml:space="preserve">This project, Deliverables 4, 5 and 7</t>
  </si>
  <si>
    <t xml:space="preserve">Illustrative case, not WPP data.</t>
  </si>
</sst>
</file>

<file path=xl/styles.xml><?xml version="1.0" encoding="utf-8"?>
<styleSheet xmlns="http://schemas.openxmlformats.org/spreadsheetml/2006/main">
  <numFmts count="8">
    <numFmt numFmtId="164" formatCode="General"/>
    <numFmt numFmtId="165" formatCode="0"/>
    <numFmt numFmtId="166" formatCode="#,##0"/>
    <numFmt numFmtId="167" formatCode="\£#,##0;&quot;(£&quot;#,##0\);\-"/>
    <numFmt numFmtId="168" formatCode="0.00"/>
    <numFmt numFmtId="169" formatCode="0.0%;\(0.0%\);\-"/>
    <numFmt numFmtId="170" formatCode="0.0;\(0.0\);\-"/>
    <numFmt numFmtId="171" formatCode="\£#,##0.00;&quot;(£&quot;#,##0.00\);\-"/>
  </numFmts>
  <fonts count="14">
    <font>
      <sz val="11"/>
      <color theme="1"/>
      <name val="Calibri"/>
      <family val="2"/>
      <charset val="1"/>
    </font>
    <font>
      <sz val="10"/>
      <name val="Arial"/>
      <family val="0"/>
    </font>
    <font>
      <sz val="10"/>
      <name val="Arial"/>
      <family val="0"/>
    </font>
    <font>
      <sz val="10"/>
      <name val="Arial"/>
      <family val="0"/>
    </font>
    <font>
      <b val="true"/>
      <sz val="14"/>
      <color rgb="FF483050"/>
      <name val="Arial"/>
      <family val="0"/>
      <charset val="1"/>
    </font>
    <font>
      <b val="true"/>
      <sz val="10"/>
      <name val="Arial"/>
      <family val="0"/>
      <charset val="1"/>
    </font>
    <font>
      <sz val="10"/>
      <name val="Arial"/>
      <family val="0"/>
      <charset val="1"/>
    </font>
    <font>
      <b val="true"/>
      <sz val="13"/>
      <color rgb="FF483050"/>
      <name val="Arial"/>
      <family val="0"/>
      <charset val="1"/>
    </font>
    <font>
      <i val="true"/>
      <sz val="10"/>
      <color rgb="FF6E6378"/>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483050"/>
        <bgColor rgb="FF333399"/>
      </patternFill>
    </fill>
    <fill>
      <patternFill patternType="solid">
        <fgColor rgb="FFF3EEF7"/>
        <bgColor rgb="FFFF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7" fontId="10" fillId="4"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5" fontId="10" fillId="4" borderId="0" xfId="0" applyFont="true" applyBorder="false" applyAlignment="true" applyProtection="false">
      <alignment horizontal="right" vertical="bottom" textRotation="0" wrapText="fals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70" fontId="10" fillId="0" borderId="0" xfId="0" applyFont="true" applyBorder="false" applyAlignment="true" applyProtection="false">
      <alignment horizontal="right" vertical="bottom" textRotation="0" wrapText="false" indent="0" shrinkToFit="false"/>
      <protection locked="true" hidden="false"/>
    </xf>
    <xf numFmtId="170" fontId="10" fillId="4"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9" fontId="10" fillId="4" borderId="0" xfId="0" applyFont="true" applyBorder="false" applyAlignment="true" applyProtection="false">
      <alignment horizontal="right" vertical="bottom" textRotation="0" wrapText="false" indent="0" shrinkToFit="false"/>
      <protection locked="true" hidden="false"/>
    </xf>
    <xf numFmtId="169" fontId="10" fillId="0" borderId="0" xfId="0" applyFont="true" applyBorder="false" applyAlignment="true" applyProtection="false">
      <alignment horizontal="right" vertical="bottom" textRotation="0" wrapText="false" indent="0" shrinkToFit="false"/>
      <protection locked="true" hidden="false"/>
    </xf>
    <xf numFmtId="166" fontId="10" fillId="4" borderId="0" xfId="0" applyFont="true" applyBorder="false" applyAlignment="true" applyProtection="false">
      <alignment horizontal="right" vertical="bottom" textRotation="0" wrapText="false" indent="0" shrinkToFit="false"/>
      <protection locked="true" hidden="false"/>
    </xf>
    <xf numFmtId="171" fontId="10" fillId="0" borderId="0" xfId="0" applyFont="true" applyBorder="false" applyAlignment="true" applyProtection="false">
      <alignment horizontal="right"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right" vertical="bottom"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71" fontId="5" fillId="0" borderId="0" xfId="0" applyFont="true" applyBorder="false" applyAlignment="true" applyProtection="false">
      <alignment horizontal="right"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70" fontId="5" fillId="0" borderId="0" xfId="0" applyFont="true" applyBorder="false" applyAlignment="true" applyProtection="false">
      <alignment horizontal="right" vertical="bottom" textRotation="0" wrapText="false" indent="0" shrinkToFit="false"/>
      <protection locked="true" hidden="false"/>
    </xf>
    <xf numFmtId="168" fontId="11" fillId="0" borderId="0" xfId="0" applyFont="true" applyBorder="false" applyAlignment="true" applyProtection="false">
      <alignment horizontal="right" vertical="bottom" textRotation="0" wrapText="false" indent="0" shrinkToFit="false"/>
      <protection locked="true" hidden="false"/>
    </xf>
    <xf numFmtId="171" fontId="11" fillId="0" borderId="0" xfId="0" applyFont="true" applyBorder="false" applyAlignment="true" applyProtection="false">
      <alignment horizontal="right" vertical="bottom" textRotation="0" wrapText="false" indent="0" shrinkToFit="false"/>
      <protection locked="true" hidden="false"/>
    </xf>
    <xf numFmtId="169" fontId="11" fillId="0" borderId="0" xfId="0" applyFont="true" applyBorder="false" applyAlignment="true" applyProtection="false">
      <alignment horizontal="right" vertical="bottom" textRotation="0" wrapText="false" indent="0" shrinkToFit="false"/>
      <protection locked="true" hidden="false"/>
    </xf>
    <xf numFmtId="170" fontId="11" fillId="0" borderId="0" xfId="0" applyFont="true" applyBorder="false" applyAlignment="true" applyProtection="false">
      <alignment horizontal="right" vertical="bottom" textRotation="0" wrapText="false" indent="0" shrinkToFit="false"/>
      <protection locked="true" hidden="false"/>
    </xf>
    <xf numFmtId="167" fontId="11" fillId="0"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3EEF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6E6378"/>
      <rgbColor rgb="FF969696"/>
      <rgbColor rgb="FF003366"/>
      <rgbColor rgb="FF339966"/>
      <rgbColor rgb="FF003300"/>
      <rgbColor rgb="FF333300"/>
      <rgbColor rgb="FF993300"/>
      <rgbColor rgb="FF993366"/>
      <rgbColor rgb="FF333399"/>
      <rgbColor rgb="FF4830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 per asset (£)</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Summary!$B$4:$F$4</c:f>
              <c:strCache>
                <c:ptCount val="5"/>
                <c:pt idx="0">
                  <c:v>Today</c:v>
                </c:pt>
                <c:pt idx="1">
                  <c:v>Cautious</c:v>
                </c:pt>
                <c:pt idx="2">
                  <c:v>Central</c:v>
                </c:pt>
                <c:pt idx="3">
                  <c:v>Optimistic</c:v>
                </c:pt>
                <c:pt idx="4">
                  <c:v>Option A (central)</c:v>
                </c:pt>
              </c:strCache>
            </c:strRef>
          </c:cat>
          <c:val>
            <c:numRef>
              <c:f>Summary!$B$6:$F$6</c:f>
              <c:numCache>
                <c:formatCode>\£#,##0.00;"(£"#,##0.00\);\-</c:formatCode>
                <c:ptCount val="5"/>
                <c:pt idx="0">
                  <c:v>192</c:v>
                </c:pt>
                <c:pt idx="1">
                  <c:v>176.65</c:v>
                </c:pt>
                <c:pt idx="2">
                  <c:v>139.706666666667</c:v>
                </c:pt>
                <c:pt idx="3">
                  <c:v>95.2833333333333</c:v>
                </c:pt>
                <c:pt idx="4">
                  <c:v>172.326666666667</c:v>
                </c:pt>
              </c:numCache>
            </c:numRef>
          </c:val>
        </c:ser>
        <c:gapWidth val="150"/>
        <c:overlap val="0"/>
        <c:axId val="94663178"/>
        <c:axId val="24006074"/>
      </c:barChart>
      <c:catAx>
        <c:axId val="946631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06074"/>
        <c:crosses val="autoZero"/>
        <c:auto val="1"/>
        <c:lblAlgn val="ctr"/>
        <c:lblOffset val="100"/>
        <c:noMultiLvlLbl val="0"/>
      </c:catAx>
      <c:valAx>
        <c:axId val="24006074"/>
        <c:scaling>
          <c:orientation val="minMax"/>
        </c:scaling>
        <c:delete val="0"/>
        <c:axPos val="l"/>
        <c:majorGridlines>
          <c:spPr>
            <a:ln w="9360">
              <a:solidFill>
                <a:srgbClr val="878787"/>
              </a:solidFill>
              <a:round/>
            </a:ln>
          </c:spPr>
        </c:majorGridlines>
        <c:numFmt formatCode="\£#,##0.00;&quot;(£&quot;#,##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66317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Elapsed working days per wave</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Summary!$B$4:$F$4</c:f>
              <c:strCache>
                <c:ptCount val="5"/>
                <c:pt idx="0">
                  <c:v>Today</c:v>
                </c:pt>
                <c:pt idx="1">
                  <c:v>Cautious</c:v>
                </c:pt>
                <c:pt idx="2">
                  <c:v>Central</c:v>
                </c:pt>
                <c:pt idx="3">
                  <c:v>Optimistic</c:v>
                </c:pt>
                <c:pt idx="4">
                  <c:v>Option A (central)</c:v>
                </c:pt>
              </c:strCache>
            </c:strRef>
          </c:cat>
          <c:val>
            <c:numRef>
              <c:f>Summary!$B$8:$F$8</c:f>
              <c:numCache>
                <c:formatCode>0.0;\(0.0\);\-</c:formatCode>
                <c:ptCount val="5"/>
                <c:pt idx="0">
                  <c:v>28</c:v>
                </c:pt>
                <c:pt idx="1">
                  <c:v>22</c:v>
                </c:pt>
                <c:pt idx="2">
                  <c:v>18</c:v>
                </c:pt>
                <c:pt idx="3">
                  <c:v>14</c:v>
                </c:pt>
                <c:pt idx="4">
                  <c:v>26</c:v>
                </c:pt>
              </c:numCache>
            </c:numRef>
          </c:val>
        </c:ser>
        <c:gapWidth val="150"/>
        <c:overlap val="0"/>
        <c:axId val="81344117"/>
        <c:axId val="64880027"/>
      </c:barChart>
      <c:catAx>
        <c:axId val="813441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880027"/>
        <c:crosses val="autoZero"/>
        <c:auto val="1"/>
        <c:lblAlgn val="ctr"/>
        <c:lblOffset val="100"/>
        <c:noMultiLvlLbl val="0"/>
      </c:catAx>
      <c:valAx>
        <c:axId val="64880027"/>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34411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176040</xdr:rowOff>
    </xdr:from>
    <xdr:to>
      <xdr:col>1</xdr:col>
      <xdr:colOff>669600</xdr:colOff>
      <xdr:row>35</xdr:row>
      <xdr:rowOff>18000</xdr:rowOff>
    </xdr:to>
    <xdr:graphicFrame>
      <xdr:nvGraphicFramePr>
        <xdr:cNvPr id="0" name="Chart 1"/>
        <xdr:cNvGraphicFramePr/>
      </xdr:nvGraphicFramePr>
      <xdr:xfrm>
        <a:off x="0" y="4191120"/>
        <a:ext cx="50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20</xdr:row>
      <xdr:rowOff>176040</xdr:rowOff>
    </xdr:from>
    <xdr:to>
      <xdr:col>8</xdr:col>
      <xdr:colOff>433080</xdr:colOff>
      <xdr:row>35</xdr:row>
      <xdr:rowOff>18000</xdr:rowOff>
    </xdr:to>
    <xdr:graphicFrame>
      <xdr:nvGraphicFramePr>
        <xdr:cNvPr id="1" name="Chart 2"/>
        <xdr:cNvGraphicFramePr/>
      </xdr:nvGraphicFramePr>
      <xdr:xfrm>
        <a:off x="6343560" y="4191120"/>
        <a:ext cx="503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0"/>
  </cols>
  <sheetData>
    <row r="1" customFormat="false" ht="17.35" hidden="false" customHeight="false" outlineLevel="0" collapsed="false">
      <c r="A1" s="1" t="s">
        <v>0</v>
      </c>
    </row>
    <row r="3" customFormat="false" ht="61.5" hidden="false" customHeight="true" outlineLevel="0" collapsed="false">
      <c r="A3" s="2" t="s">
        <v>1</v>
      </c>
      <c r="B3" s="3" t="s">
        <v>2</v>
      </c>
    </row>
    <row r="4" customFormat="false" ht="61.5" hidden="false" customHeight="true" outlineLevel="0" collapsed="false">
      <c r="A4" s="2" t="s">
        <v>3</v>
      </c>
      <c r="B4" s="3" t="s">
        <v>4</v>
      </c>
    </row>
    <row r="5" customFormat="false" ht="45.75" hidden="false" customHeight="true" outlineLevel="0" collapsed="false">
      <c r="A5" s="2" t="s">
        <v>5</v>
      </c>
      <c r="B5" s="3" t="s">
        <v>6</v>
      </c>
    </row>
    <row r="6" customFormat="false" ht="45.75" hidden="false" customHeight="true" outlineLevel="0" collapsed="false">
      <c r="A6" s="2" t="s">
        <v>7</v>
      </c>
      <c r="B6" s="3" t="s">
        <v>8</v>
      </c>
    </row>
    <row r="7" customFormat="false" ht="61.5" hidden="false" customHeight="true" outlineLevel="0" collapsed="false">
      <c r="A7" s="2" t="s">
        <v>9</v>
      </c>
      <c r="B7" s="3" t="s">
        <v>10</v>
      </c>
    </row>
    <row r="8" customFormat="false" ht="45.75" hidden="false" customHeight="true" outlineLevel="0" collapsed="false">
      <c r="A8" s="2" t="s">
        <v>11</v>
      </c>
      <c r="B8" s="3" t="s">
        <v>12</v>
      </c>
    </row>
    <row r="9" customFormat="false" ht="61.5" hidden="false" customHeight="true" outlineLevel="0" collapsed="false">
      <c r="A9" s="2" t="s">
        <v>13</v>
      </c>
      <c r="B9" s="3" t="s">
        <v>14</v>
      </c>
    </row>
    <row r="10" customFormat="false" ht="61.5" hidden="false" customHeight="true" outlineLevel="0" collapsed="false">
      <c r="A10" s="2" t="s">
        <v>15</v>
      </c>
      <c r="B10" s="3" t="s">
        <v>16</v>
      </c>
    </row>
    <row r="11" customFormat="false" ht="45.75" hidden="false" customHeight="true" outlineLevel="0" collapsed="false">
      <c r="A11" s="2" t="s">
        <v>17</v>
      </c>
      <c r="B11"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9"/>
    <col collapsed="false" customWidth="true" hidden="false" outlineLevel="0" max="5" min="3" style="0" width="13"/>
    <col collapsed="false" customWidth="true" hidden="false" outlineLevel="0" max="6" min="6" style="0" width="80"/>
  </cols>
  <sheetData>
    <row r="1" customFormat="false" ht="16.15" hidden="false" customHeight="false" outlineLevel="0" collapsed="false">
      <c r="A1" s="4" t="s">
        <v>19</v>
      </c>
    </row>
    <row r="2" customFormat="false" ht="15" hidden="false" customHeight="false" outlineLevel="0" collapsed="false">
      <c r="A2" s="5" t="s">
        <v>20</v>
      </c>
    </row>
    <row r="4" customFormat="false" ht="15" hidden="false" customHeight="false" outlineLevel="0" collapsed="false">
      <c r="A4" s="6" t="s">
        <v>21</v>
      </c>
      <c r="B4" s="7" t="s">
        <v>22</v>
      </c>
      <c r="C4" s="7"/>
      <c r="D4" s="7" t="s">
        <v>23</v>
      </c>
      <c r="E4" s="7"/>
      <c r="F4" s="7" t="s">
        <v>24</v>
      </c>
    </row>
    <row r="5" customFormat="false" ht="15" hidden="false" customHeight="false" outlineLevel="0" collapsed="false">
      <c r="A5" s="8" t="s">
        <v>25</v>
      </c>
      <c r="B5" s="9"/>
      <c r="C5" s="9"/>
      <c r="D5" s="9"/>
      <c r="E5" s="9"/>
      <c r="F5" s="9"/>
    </row>
    <row r="6" customFormat="false" ht="15.75" hidden="false" customHeight="true" outlineLevel="0" collapsed="false">
      <c r="A6" s="10" t="s">
        <v>26</v>
      </c>
      <c r="B6" s="10" t="s">
        <v>27</v>
      </c>
      <c r="D6" s="11" t="n">
        <v>20</v>
      </c>
      <c r="F6" s="3" t="s">
        <v>28</v>
      </c>
    </row>
    <row r="7" customFormat="false" ht="15.75" hidden="false" customHeight="true" outlineLevel="0" collapsed="false">
      <c r="A7" s="10" t="s">
        <v>29</v>
      </c>
      <c r="B7" s="10" t="s">
        <v>27</v>
      </c>
      <c r="D7" s="11" t="n">
        <v>6</v>
      </c>
      <c r="F7" s="3" t="s">
        <v>30</v>
      </c>
    </row>
    <row r="8" customFormat="false" ht="15.75" hidden="false" customHeight="true" outlineLevel="0" collapsed="false">
      <c r="A8" s="10" t="s">
        <v>31</v>
      </c>
      <c r="B8" s="10" t="s">
        <v>27</v>
      </c>
      <c r="D8" s="11" t="n">
        <v>4</v>
      </c>
      <c r="F8" s="3" t="s">
        <v>30</v>
      </c>
    </row>
    <row r="9" customFormat="false" ht="15.75" hidden="false" customHeight="true" outlineLevel="0" collapsed="false">
      <c r="A9" s="10" t="s">
        <v>32</v>
      </c>
      <c r="B9" s="10" t="s">
        <v>27</v>
      </c>
      <c r="D9" s="12" t="n">
        <f aca="false">D6*D7*D8</f>
        <v>480</v>
      </c>
      <c r="F9" s="3" t="s">
        <v>33</v>
      </c>
    </row>
    <row r="10" customFormat="false" ht="15.75" hidden="false" customHeight="true" outlineLevel="0" collapsed="false">
      <c r="A10" s="10" t="s">
        <v>34</v>
      </c>
      <c r="B10" s="10" t="s">
        <v>35</v>
      </c>
      <c r="D10" s="13" t="n">
        <v>60</v>
      </c>
      <c r="F10" s="3" t="s">
        <v>36</v>
      </c>
    </row>
    <row r="11" customFormat="false" ht="15.75" hidden="false" customHeight="true" outlineLevel="0" collapsed="false">
      <c r="A11" s="10" t="s">
        <v>37</v>
      </c>
      <c r="B11" s="10" t="s">
        <v>38</v>
      </c>
      <c r="D11" s="14" t="n">
        <v>1600</v>
      </c>
      <c r="F11" s="3" t="s">
        <v>39</v>
      </c>
    </row>
    <row r="12" customFormat="false" ht="30" hidden="false" customHeight="true" outlineLevel="0" collapsed="false">
      <c r="A12" s="10" t="s">
        <v>40</v>
      </c>
      <c r="B12" s="10" t="s">
        <v>27</v>
      </c>
      <c r="D12" s="15" t="n">
        <v>60</v>
      </c>
      <c r="F12" s="3" t="s">
        <v>41</v>
      </c>
    </row>
    <row r="13" customFormat="false" ht="15" hidden="false" customHeight="false" outlineLevel="0" collapsed="false">
      <c r="A13" s="8" t="s">
        <v>42</v>
      </c>
      <c r="B13" s="9"/>
      <c r="C13" s="9"/>
      <c r="D13" s="9"/>
      <c r="E13" s="9"/>
      <c r="F13" s="9"/>
    </row>
    <row r="14" customFormat="false" ht="15.75" hidden="false" customHeight="true" outlineLevel="0" collapsed="false">
      <c r="A14" s="10" t="s">
        <v>43</v>
      </c>
      <c r="B14" s="10" t="s">
        <v>38</v>
      </c>
      <c r="D14" s="16" t="n">
        <v>0.92</v>
      </c>
      <c r="F14" s="3" t="s">
        <v>44</v>
      </c>
    </row>
    <row r="15" customFormat="false" ht="15.75" hidden="false" customHeight="true" outlineLevel="0" collapsed="false">
      <c r="A15" s="10" t="s">
        <v>45</v>
      </c>
      <c r="B15" s="10" t="s">
        <v>38</v>
      </c>
      <c r="D15" s="16" t="n">
        <v>1.38</v>
      </c>
      <c r="F15" s="3" t="s">
        <v>46</v>
      </c>
    </row>
    <row r="16" customFormat="false" ht="15.75" hidden="false" customHeight="true" outlineLevel="0" collapsed="false">
      <c r="A16" s="10" t="s">
        <v>47</v>
      </c>
      <c r="B16" s="10" t="s">
        <v>38</v>
      </c>
      <c r="D16" s="16" t="n">
        <v>0.3</v>
      </c>
      <c r="F16" s="3" t="s">
        <v>48</v>
      </c>
    </row>
    <row r="17" customFormat="false" ht="15.75" hidden="false" customHeight="true" outlineLevel="0" collapsed="false">
      <c r="A17" s="10" t="s">
        <v>49</v>
      </c>
      <c r="B17" s="10" t="s">
        <v>50</v>
      </c>
      <c r="D17" s="17" t="n">
        <f aca="false">1/3</f>
        <v>0.333333333333333</v>
      </c>
      <c r="F17" s="3" t="s">
        <v>51</v>
      </c>
    </row>
    <row r="18" customFormat="false" ht="30" hidden="false" customHeight="true" outlineLevel="0" collapsed="false">
      <c r="A18" s="10" t="s">
        <v>52</v>
      </c>
      <c r="B18" s="10" t="s">
        <v>38</v>
      </c>
      <c r="D18" s="16" t="n">
        <v>1.8</v>
      </c>
      <c r="F18" s="3" t="s">
        <v>53</v>
      </c>
    </row>
    <row r="19" customFormat="false" ht="15.75" hidden="false" customHeight="true" outlineLevel="0" collapsed="false">
      <c r="A19" s="10" t="s">
        <v>54</v>
      </c>
      <c r="B19" s="10" t="s">
        <v>38</v>
      </c>
      <c r="D19" s="18" t="n">
        <f aca="false">D17*D18</f>
        <v>0.6</v>
      </c>
      <c r="F19" s="3" t="s">
        <v>55</v>
      </c>
    </row>
    <row r="20" customFormat="false" ht="15.75" hidden="false" customHeight="true" outlineLevel="0" collapsed="false">
      <c r="A20" s="10" t="s">
        <v>56</v>
      </c>
      <c r="B20" s="10" t="s">
        <v>38</v>
      </c>
      <c r="D20" s="18" t="n">
        <f aca="false">SUM(D14:D16)+D19</f>
        <v>3.2</v>
      </c>
      <c r="F20" s="3" t="s">
        <v>57</v>
      </c>
    </row>
    <row r="21" customFormat="false" ht="15.75" hidden="false" customHeight="true" outlineLevel="0" collapsed="false">
      <c r="A21" s="10" t="s">
        <v>58</v>
      </c>
      <c r="B21" s="10" t="s">
        <v>59</v>
      </c>
      <c r="D21" s="19" t="n">
        <v>13</v>
      </c>
      <c r="F21" s="3" t="s">
        <v>60</v>
      </c>
    </row>
    <row r="22" customFormat="false" ht="30" hidden="false" customHeight="true" outlineLevel="0" collapsed="false">
      <c r="A22" s="10" t="s">
        <v>61</v>
      </c>
      <c r="B22" s="10" t="s">
        <v>59</v>
      </c>
      <c r="D22" s="20" t="n">
        <v>15</v>
      </c>
      <c r="F22" s="3" t="s">
        <v>62</v>
      </c>
    </row>
    <row r="23" customFormat="false" ht="15.75" hidden="false" customHeight="true" outlineLevel="0" collapsed="false">
      <c r="A23" s="10" t="s">
        <v>63</v>
      </c>
      <c r="B23" s="10" t="s">
        <v>59</v>
      </c>
      <c r="D23" s="21" t="n">
        <f aca="false">D21+D22</f>
        <v>28</v>
      </c>
      <c r="F23" s="3" t="s">
        <v>64</v>
      </c>
    </row>
    <row r="25" customFormat="false" ht="15" hidden="false" customHeight="false" outlineLevel="0" collapsed="false">
      <c r="A25" s="6" t="s">
        <v>65</v>
      </c>
      <c r="B25" s="7" t="s">
        <v>22</v>
      </c>
      <c r="C25" s="7" t="s">
        <v>66</v>
      </c>
      <c r="D25" s="7" t="s">
        <v>67</v>
      </c>
      <c r="E25" s="7" t="s">
        <v>68</v>
      </c>
      <c r="F25" s="7" t="s">
        <v>24</v>
      </c>
    </row>
    <row r="26" customFormat="false" ht="15" hidden="false" customHeight="false" outlineLevel="0" collapsed="false">
      <c r="A26" s="8" t="s">
        <v>69</v>
      </c>
      <c r="B26" s="9"/>
      <c r="C26" s="9"/>
      <c r="D26" s="9"/>
      <c r="E26" s="9"/>
      <c r="F26" s="9"/>
    </row>
    <row r="27" customFormat="false" ht="30" hidden="false" customHeight="true" outlineLevel="0" collapsed="false">
      <c r="A27" s="10" t="s">
        <v>70</v>
      </c>
      <c r="B27" s="10" t="s">
        <v>50</v>
      </c>
      <c r="C27" s="22" t="n">
        <v>0.35</v>
      </c>
      <c r="D27" s="22" t="n">
        <v>0.5</v>
      </c>
      <c r="E27" s="22" t="n">
        <v>0.7</v>
      </c>
      <c r="F27" s="3" t="s">
        <v>71</v>
      </c>
    </row>
    <row r="28" customFormat="false" ht="30" hidden="false" customHeight="true" outlineLevel="0" collapsed="false">
      <c r="A28" s="10" t="s">
        <v>72</v>
      </c>
      <c r="B28" s="10" t="s">
        <v>50</v>
      </c>
      <c r="C28" s="22" t="n">
        <v>0.1</v>
      </c>
      <c r="D28" s="22" t="n">
        <v>0.2</v>
      </c>
      <c r="E28" s="22" t="n">
        <v>0.45</v>
      </c>
      <c r="F28" s="3" t="s">
        <v>73</v>
      </c>
    </row>
    <row r="29" customFormat="false" ht="30" hidden="false" customHeight="true" outlineLevel="0" collapsed="false">
      <c r="A29" s="10" t="s">
        <v>74</v>
      </c>
      <c r="B29" s="10" t="s">
        <v>50</v>
      </c>
      <c r="C29" s="23" t="n">
        <v>0.1</v>
      </c>
      <c r="D29" s="23" t="n">
        <v>0</v>
      </c>
      <c r="E29" s="23" t="n">
        <v>-0.1</v>
      </c>
      <c r="F29" s="3" t="s">
        <v>75</v>
      </c>
    </row>
    <row r="30" customFormat="false" ht="30" hidden="false" customHeight="true" outlineLevel="0" collapsed="false">
      <c r="A30" s="10" t="s">
        <v>76</v>
      </c>
      <c r="B30" s="10" t="s">
        <v>50</v>
      </c>
      <c r="C30" s="22" t="n">
        <v>0.25</v>
      </c>
      <c r="D30" s="22" t="n">
        <v>0.15</v>
      </c>
      <c r="E30" s="22" t="n">
        <v>0.1</v>
      </c>
      <c r="F30" s="3" t="s">
        <v>77</v>
      </c>
    </row>
    <row r="31" customFormat="false" ht="15.75" hidden="false" customHeight="true" outlineLevel="0" collapsed="false">
      <c r="A31" s="10" t="s">
        <v>78</v>
      </c>
      <c r="B31" s="10" t="s">
        <v>50</v>
      </c>
      <c r="C31" s="23" t="n">
        <v>0.15</v>
      </c>
      <c r="D31" s="23" t="n">
        <v>0.1</v>
      </c>
      <c r="E31" s="23" t="n">
        <v>0.05</v>
      </c>
      <c r="F31" s="3" t="s">
        <v>79</v>
      </c>
    </row>
    <row r="32" customFormat="false" ht="15.75" hidden="false" customHeight="true" outlineLevel="0" collapsed="false">
      <c r="A32" s="10" t="s">
        <v>80</v>
      </c>
      <c r="B32" s="10" t="s">
        <v>38</v>
      </c>
      <c r="C32" s="16" t="n">
        <v>0.3</v>
      </c>
      <c r="D32" s="16" t="n">
        <v>0.25</v>
      </c>
      <c r="E32" s="16" t="n">
        <v>0.2</v>
      </c>
      <c r="F32" s="3" t="s">
        <v>81</v>
      </c>
    </row>
    <row r="33" customFormat="false" ht="30" hidden="false" customHeight="true" outlineLevel="0" collapsed="false">
      <c r="A33" s="10" t="s">
        <v>82</v>
      </c>
      <c r="B33" s="10" t="s">
        <v>38</v>
      </c>
      <c r="C33" s="24" t="n">
        <v>60</v>
      </c>
      <c r="D33" s="24" t="n">
        <v>40</v>
      </c>
      <c r="E33" s="24" t="n">
        <v>24</v>
      </c>
      <c r="F33" s="3" t="s">
        <v>83</v>
      </c>
    </row>
    <row r="34" customFormat="false" ht="15" hidden="false" customHeight="false" outlineLevel="0" collapsed="false">
      <c r="A34" s="8" t="s">
        <v>84</v>
      </c>
      <c r="B34" s="9"/>
      <c r="C34" s="9"/>
      <c r="D34" s="9"/>
      <c r="E34" s="9"/>
      <c r="F34" s="9"/>
    </row>
    <row r="35" customFormat="false" ht="15.75" hidden="false" customHeight="true" outlineLevel="0" collapsed="false">
      <c r="A35" s="10" t="s">
        <v>85</v>
      </c>
      <c r="B35" s="10" t="s">
        <v>35</v>
      </c>
      <c r="C35" s="25" t="n">
        <v>3</v>
      </c>
      <c r="D35" s="25" t="n">
        <v>1</v>
      </c>
      <c r="E35" s="25" t="n">
        <v>0.5</v>
      </c>
      <c r="F35" s="3" t="s">
        <v>86</v>
      </c>
    </row>
    <row r="36" customFormat="false" ht="30" hidden="false" customHeight="true" outlineLevel="0" collapsed="false">
      <c r="A36" s="10" t="s">
        <v>87</v>
      </c>
      <c r="B36" s="10" t="s">
        <v>35</v>
      </c>
      <c r="C36" s="26" t="n">
        <v>3000</v>
      </c>
      <c r="D36" s="26" t="n">
        <v>2000</v>
      </c>
      <c r="E36" s="26" t="n">
        <v>1000</v>
      </c>
      <c r="F36" s="3" t="s">
        <v>88</v>
      </c>
    </row>
    <row r="37" customFormat="false" ht="30" hidden="false" customHeight="true" outlineLevel="0" collapsed="false">
      <c r="A37" s="10" t="s">
        <v>89</v>
      </c>
      <c r="B37" s="10" t="s">
        <v>35</v>
      </c>
      <c r="C37" s="13" t="n">
        <v>2000000</v>
      </c>
      <c r="D37" s="13" t="n">
        <v>1200000</v>
      </c>
      <c r="E37" s="13" t="n">
        <v>900000</v>
      </c>
      <c r="F37" s="3" t="s">
        <v>90</v>
      </c>
    </row>
    <row r="38" customFormat="false" ht="15" hidden="false" customHeight="false" outlineLevel="0" collapsed="false">
      <c r="A38" s="8" t="s">
        <v>91</v>
      </c>
      <c r="B38" s="9"/>
      <c r="C38" s="9"/>
      <c r="D38" s="9"/>
      <c r="E38" s="9"/>
      <c r="F38" s="9"/>
    </row>
    <row r="39" customFormat="false" ht="15.75" hidden="false" customHeight="true" outlineLevel="0" collapsed="false">
      <c r="A39" s="10" t="s">
        <v>92</v>
      </c>
      <c r="B39" s="10" t="s">
        <v>59</v>
      </c>
      <c r="C39" s="19" t="n">
        <v>4</v>
      </c>
      <c r="D39" s="19" t="n">
        <v>3</v>
      </c>
      <c r="E39" s="19" t="n">
        <v>3</v>
      </c>
      <c r="F39" s="3" t="s">
        <v>93</v>
      </c>
    </row>
    <row r="40" customFormat="false" ht="15.75" hidden="false" customHeight="true" outlineLevel="0" collapsed="false">
      <c r="A40" s="10" t="s">
        <v>94</v>
      </c>
      <c r="B40" s="10" t="s">
        <v>59</v>
      </c>
      <c r="C40" s="19" t="n">
        <v>2</v>
      </c>
      <c r="D40" s="19" t="n">
        <v>2</v>
      </c>
      <c r="E40" s="19" t="n">
        <v>2</v>
      </c>
      <c r="F40" s="3" t="s">
        <v>95</v>
      </c>
    </row>
    <row r="41" customFormat="false" ht="15.75" hidden="false" customHeight="true" outlineLevel="0" collapsed="false">
      <c r="A41" s="10" t="s">
        <v>96</v>
      </c>
      <c r="B41" s="10" t="s">
        <v>59</v>
      </c>
      <c r="C41" s="20" t="n">
        <v>5</v>
      </c>
      <c r="D41" s="20" t="n">
        <v>4</v>
      </c>
      <c r="E41" s="20" t="n">
        <v>2</v>
      </c>
      <c r="F41" s="3" t="s">
        <v>97</v>
      </c>
    </row>
    <row r="42" customFormat="false" ht="15.75" hidden="false" customHeight="true" outlineLevel="0" collapsed="false">
      <c r="A42" s="10" t="s">
        <v>98</v>
      </c>
      <c r="B42" s="10" t="s">
        <v>59</v>
      </c>
      <c r="C42" s="19" t="n">
        <v>1</v>
      </c>
      <c r="D42" s="19" t="n">
        <v>1</v>
      </c>
      <c r="E42" s="19" t="n">
        <v>1</v>
      </c>
      <c r="F42" s="3" t="s">
        <v>99</v>
      </c>
    </row>
    <row r="43" customFormat="false" ht="15.75" hidden="false" customHeight="true" outlineLevel="0" collapsed="false">
      <c r="A43" s="10" t="s">
        <v>100</v>
      </c>
      <c r="B43" s="10" t="s">
        <v>59</v>
      </c>
      <c r="C43" s="19" t="n">
        <v>1</v>
      </c>
      <c r="D43" s="19" t="n">
        <v>1</v>
      </c>
      <c r="E43" s="19" t="n">
        <v>1</v>
      </c>
      <c r="F43" s="3" t="s">
        <v>99</v>
      </c>
    </row>
    <row r="44" customFormat="false" ht="15.75" hidden="false" customHeight="true" outlineLevel="0" collapsed="false">
      <c r="A44" s="10" t="s">
        <v>101</v>
      </c>
      <c r="B44" s="10" t="s">
        <v>59</v>
      </c>
      <c r="C44" s="20" t="n">
        <v>3</v>
      </c>
      <c r="D44" s="20" t="n">
        <v>2</v>
      </c>
      <c r="E44" s="20" t="n">
        <v>1.5</v>
      </c>
      <c r="F44" s="3" t="s">
        <v>102</v>
      </c>
    </row>
    <row r="45" customFormat="false" ht="15.75" hidden="false" customHeight="true" outlineLevel="0" collapsed="false">
      <c r="A45" s="10" t="s">
        <v>103</v>
      </c>
      <c r="B45" s="10" t="s">
        <v>59</v>
      </c>
      <c r="C45" s="19" t="n">
        <v>1</v>
      </c>
      <c r="D45" s="19" t="n">
        <v>1</v>
      </c>
      <c r="E45" s="19" t="n">
        <v>0.5</v>
      </c>
      <c r="F45" s="3" t="s">
        <v>99</v>
      </c>
    </row>
    <row r="46" customFormat="false" ht="15.75" hidden="false" customHeight="true" outlineLevel="0" collapsed="false">
      <c r="A46" s="10" t="s">
        <v>104</v>
      </c>
      <c r="B46" s="10" t="s">
        <v>59</v>
      </c>
      <c r="C46" s="20" t="n">
        <v>4</v>
      </c>
      <c r="D46" s="20" t="n">
        <v>3</v>
      </c>
      <c r="E46" s="20" t="n">
        <v>2</v>
      </c>
      <c r="F46" s="3" t="s">
        <v>93</v>
      </c>
    </row>
    <row r="47" customFormat="false" ht="15.75" hidden="false" customHeight="true" outlineLevel="0" collapsed="false">
      <c r="A47" s="10" t="s">
        <v>105</v>
      </c>
      <c r="B47" s="10" t="s">
        <v>59</v>
      </c>
      <c r="C47" s="19" t="n">
        <v>1</v>
      </c>
      <c r="D47" s="19" t="n">
        <v>1</v>
      </c>
      <c r="E47" s="19" t="n">
        <v>1</v>
      </c>
      <c r="F47" s="3" t="s">
        <v>99</v>
      </c>
    </row>
    <row r="49" customFormat="false" ht="15" hidden="false" customHeight="false" outlineLevel="0" collapsed="false">
      <c r="A49" s="8" t="s">
        <v>106</v>
      </c>
      <c r="B49" s="9"/>
      <c r="C49" s="9"/>
      <c r="D49" s="9"/>
      <c r="E49" s="9"/>
      <c r="F49" s="9"/>
    </row>
    <row r="50" customFormat="false" ht="30" hidden="false" customHeight="true" outlineLevel="0" collapsed="false">
      <c r="A50" s="10" t="s">
        <v>107</v>
      </c>
      <c r="B50" s="10" t="s">
        <v>50</v>
      </c>
      <c r="D50" s="22" t="n">
        <v>0.3</v>
      </c>
      <c r="F50" s="3" t="s">
        <v>108</v>
      </c>
    </row>
    <row r="51" customFormat="false" ht="15.75" hidden="false" customHeight="true" outlineLevel="0" collapsed="false">
      <c r="A51" s="10" t="s">
        <v>109</v>
      </c>
      <c r="B51" s="10" t="s">
        <v>50</v>
      </c>
      <c r="D51" s="22" t="n">
        <v>0.1</v>
      </c>
      <c r="F51" s="3" t="s">
        <v>81</v>
      </c>
    </row>
    <row r="52" customFormat="false" ht="15.75" hidden="false" customHeight="true" outlineLevel="0" collapsed="false">
      <c r="A52" s="10" t="s">
        <v>110</v>
      </c>
      <c r="B52" s="10" t="s">
        <v>59</v>
      </c>
      <c r="D52" s="19" t="n">
        <v>11</v>
      </c>
      <c r="F52" s="3" t="s">
        <v>111</v>
      </c>
    </row>
    <row r="53" customFormat="false" ht="15.75" hidden="false" customHeight="true" outlineLevel="0" collapsed="false">
      <c r="A53" s="10" t="s">
        <v>112</v>
      </c>
      <c r="B53" s="10" t="s">
        <v>59</v>
      </c>
      <c r="D53" s="19" t="n">
        <v>15</v>
      </c>
      <c r="F53" s="3"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5" min="2" style="0" width="13"/>
    <col collapsed="false" customWidth="true" hidden="false" outlineLevel="0" max="6" min="6" style="0" width="24"/>
  </cols>
  <sheetData>
    <row r="1" customFormat="false" ht="16.15" hidden="false" customHeight="false" outlineLevel="0" collapsed="false">
      <c r="A1" s="4" t="s">
        <v>114</v>
      </c>
    </row>
    <row r="2" customFormat="false" ht="15" hidden="false" customHeight="false" outlineLevel="0" collapsed="false">
      <c r="A2" s="5" t="s">
        <v>115</v>
      </c>
    </row>
    <row r="4" customFormat="false" ht="30" hidden="false" customHeight="true" outlineLevel="0" collapsed="false">
      <c r="A4" s="6" t="s">
        <v>116</v>
      </c>
      <c r="B4" s="7" t="s">
        <v>117</v>
      </c>
      <c r="C4" s="7" t="s">
        <v>66</v>
      </c>
      <c r="D4" s="7" t="s">
        <v>67</v>
      </c>
      <c r="E4" s="7" t="s">
        <v>68</v>
      </c>
      <c r="F4" s="7" t="s">
        <v>118</v>
      </c>
    </row>
    <row r="5" customFormat="false" ht="15" hidden="false" customHeight="false" outlineLevel="0" collapsed="false">
      <c r="A5" s="8" t="s">
        <v>119</v>
      </c>
      <c r="B5" s="9"/>
      <c r="C5" s="9"/>
      <c r="D5" s="9"/>
      <c r="E5" s="9"/>
      <c r="F5" s="9"/>
    </row>
    <row r="6" customFormat="false" ht="15" hidden="false" customHeight="false" outlineLevel="0" collapsed="false">
      <c r="A6" s="10" t="s">
        <v>120</v>
      </c>
      <c r="B6" s="18" t="n">
        <f aca="false">Inputs!D14</f>
        <v>0.92</v>
      </c>
      <c r="C6" s="18" t="n">
        <f aca="false">Inputs!$D$14*(1-Inputs!C27)</f>
        <v>0.598</v>
      </c>
      <c r="D6" s="18" t="n">
        <f aca="false">Inputs!$D$14*(1-Inputs!D27)</f>
        <v>0.46</v>
      </c>
      <c r="E6" s="18" t="n">
        <f aca="false">Inputs!$D$14*(1-Inputs!E27)</f>
        <v>0.276</v>
      </c>
      <c r="F6" s="18" t="n">
        <f aca="false">Inputs!$D$14*(1-Inputs!D50)</f>
        <v>0.644</v>
      </c>
    </row>
    <row r="7" customFormat="false" ht="15" hidden="false" customHeight="false" outlineLevel="0" collapsed="false">
      <c r="A7" s="10" t="s">
        <v>121</v>
      </c>
      <c r="B7" s="18" t="n">
        <f aca="false">Inputs!D15</f>
        <v>1.38</v>
      </c>
      <c r="C7" s="18" t="n">
        <f aca="false">Inputs!$D$15*(1-Inputs!C28)</f>
        <v>1.242</v>
      </c>
      <c r="D7" s="18" t="n">
        <f aca="false">Inputs!$D$15*(1-Inputs!D28)</f>
        <v>1.104</v>
      </c>
      <c r="E7" s="18" t="n">
        <f aca="false">Inputs!$D$15*(1-Inputs!E28)</f>
        <v>0.759</v>
      </c>
      <c r="F7" s="18" t="n">
        <f aca="false">Inputs!$D$15*(1-Inputs!D51)</f>
        <v>1.242</v>
      </c>
    </row>
    <row r="8" customFormat="false" ht="15" hidden="false" customHeight="false" outlineLevel="0" collapsed="false">
      <c r="A8" s="10" t="s">
        <v>122</v>
      </c>
      <c r="B8" s="18" t="n">
        <f aca="false">Inputs!D16</f>
        <v>0.3</v>
      </c>
      <c r="C8" s="18" t="n">
        <f aca="false">Inputs!$D$16*(1+Inputs!C29)</f>
        <v>0.33</v>
      </c>
      <c r="D8" s="18" t="n">
        <f aca="false">Inputs!$D$16*(1+Inputs!D29)</f>
        <v>0.3</v>
      </c>
      <c r="E8" s="18" t="n">
        <f aca="false">Inputs!$D$16*(1+Inputs!E29)</f>
        <v>0.27</v>
      </c>
      <c r="F8" s="18" t="n">
        <f aca="false">Inputs!D16</f>
        <v>0.3</v>
      </c>
    </row>
    <row r="9" customFormat="false" ht="15" hidden="false" customHeight="false" outlineLevel="0" collapsed="false">
      <c r="A9" s="10" t="s">
        <v>123</v>
      </c>
      <c r="B9" s="18" t="n">
        <f aca="false">Inputs!D19</f>
        <v>0.6</v>
      </c>
      <c r="C9" s="18" t="n">
        <f aca="false">Inputs!C30*Inputs!$D$18</f>
        <v>0.45</v>
      </c>
      <c r="D9" s="18" t="n">
        <f aca="false">Inputs!D30*Inputs!$D$18</f>
        <v>0.27</v>
      </c>
      <c r="E9" s="18" t="n">
        <f aca="false">Inputs!E30*Inputs!$D$18</f>
        <v>0.18</v>
      </c>
      <c r="F9" s="18" t="n">
        <f aca="false">Inputs!D19</f>
        <v>0.6</v>
      </c>
    </row>
    <row r="10" customFormat="false" ht="15" hidden="false" customHeight="false" outlineLevel="0" collapsed="false">
      <c r="A10" s="10" t="s">
        <v>124</v>
      </c>
      <c r="B10" s="18" t="n">
        <v>0</v>
      </c>
      <c r="C10" s="18" t="n">
        <f aca="false">Inputs!C31*Inputs!C32</f>
        <v>0.045</v>
      </c>
      <c r="D10" s="18" t="n">
        <f aca="false">Inputs!D31*Inputs!D32</f>
        <v>0.025</v>
      </c>
      <c r="E10" s="18" t="n">
        <f aca="false">Inputs!E31*Inputs!E32</f>
        <v>0.01</v>
      </c>
      <c r="F10" s="18" t="n">
        <v>0</v>
      </c>
    </row>
    <row r="11" customFormat="false" ht="15" hidden="false" customHeight="false" outlineLevel="0" collapsed="false">
      <c r="A11" s="10" t="s">
        <v>125</v>
      </c>
      <c r="B11" s="18" t="n">
        <v>0</v>
      </c>
      <c r="C11" s="18" t="n">
        <f aca="false">Inputs!C33/Inputs!$D$9</f>
        <v>0.125</v>
      </c>
      <c r="D11" s="18" t="n">
        <f aca="false">Inputs!D33/Inputs!$D$9</f>
        <v>0.0833333333333333</v>
      </c>
      <c r="E11" s="18" t="n">
        <f aca="false">Inputs!E33/Inputs!$D$9</f>
        <v>0.05</v>
      </c>
      <c r="F11" s="18" t="n">
        <v>0</v>
      </c>
    </row>
    <row r="12" customFormat="false" ht="15" hidden="false" customHeight="false" outlineLevel="0" collapsed="false">
      <c r="A12" s="27" t="s">
        <v>126</v>
      </c>
      <c r="B12" s="28" t="n">
        <f aca="false">SUM(B6:B11)</f>
        <v>3.2</v>
      </c>
      <c r="C12" s="28" t="n">
        <f aca="false">SUM(C6:C11)</f>
        <v>2.79</v>
      </c>
      <c r="D12" s="28" t="n">
        <f aca="false">SUM(D6:D11)</f>
        <v>2.24233333333333</v>
      </c>
      <c r="E12" s="28" t="n">
        <f aca="false">SUM(E6:E11)</f>
        <v>1.545</v>
      </c>
      <c r="F12" s="28" t="n">
        <f aca="false">SUM(F6:F11)</f>
        <v>2.786</v>
      </c>
    </row>
    <row r="13" customFormat="false" ht="15" hidden="false" customHeight="false" outlineLevel="0" collapsed="false">
      <c r="A13" s="10" t="s">
        <v>127</v>
      </c>
      <c r="B13" s="17" t="n">
        <v>0</v>
      </c>
      <c r="C13" s="17" t="n">
        <f aca="false">C12/$B$12-1</f>
        <v>-0.128125</v>
      </c>
      <c r="D13" s="17" t="n">
        <f aca="false">D12/$B$12-1</f>
        <v>-0.299270833333333</v>
      </c>
      <c r="E13" s="17" t="n">
        <f aca="false">E12/$B$12-1</f>
        <v>-0.5171875</v>
      </c>
      <c r="F13" s="17" t="n">
        <f aca="false">F12/$B$12-1</f>
        <v>-0.129375</v>
      </c>
    </row>
    <row r="14" customFormat="false" ht="15" hidden="false" customHeight="false" outlineLevel="0" collapsed="false">
      <c r="A14" s="8" t="s">
        <v>128</v>
      </c>
      <c r="B14" s="9"/>
      <c r="C14" s="9"/>
      <c r="D14" s="9"/>
      <c r="E14" s="9"/>
      <c r="F14" s="9"/>
    </row>
    <row r="15" customFormat="false" ht="15" hidden="false" customHeight="false" outlineLevel="0" collapsed="false">
      <c r="A15" s="10" t="s">
        <v>129</v>
      </c>
      <c r="B15" s="29" t="n">
        <f aca="false">B12*Inputs!$D$10</f>
        <v>192</v>
      </c>
      <c r="C15" s="29" t="n">
        <f aca="false">C12*Inputs!$D$10</f>
        <v>167.4</v>
      </c>
      <c r="D15" s="29" t="n">
        <f aca="false">D12*Inputs!$D$10</f>
        <v>134.54</v>
      </c>
      <c r="E15" s="29" t="n">
        <f aca="false">E12*Inputs!$D$10</f>
        <v>92.7</v>
      </c>
      <c r="F15" s="29" t="n">
        <f aca="false">F12*Inputs!$D$10</f>
        <v>167.16</v>
      </c>
    </row>
    <row r="16" customFormat="false" ht="15" hidden="false" customHeight="false" outlineLevel="0" collapsed="false">
      <c r="A16" s="10" t="s">
        <v>130</v>
      </c>
      <c r="B16" s="29" t="n">
        <v>0</v>
      </c>
      <c r="C16" s="29" t="n">
        <f aca="false">Inputs!C35</f>
        <v>3</v>
      </c>
      <c r="D16" s="29" t="n">
        <f aca="false">Inputs!D35</f>
        <v>1</v>
      </c>
      <c r="E16" s="29" t="n">
        <f aca="false">Inputs!E35</f>
        <v>0.5</v>
      </c>
      <c r="F16" s="29" t="n">
        <f aca="false">Inputs!D35</f>
        <v>1</v>
      </c>
    </row>
    <row r="17" customFormat="false" ht="15" hidden="false" customHeight="false" outlineLevel="0" collapsed="false">
      <c r="A17" s="10" t="s">
        <v>131</v>
      </c>
      <c r="B17" s="29" t="n">
        <v>0</v>
      </c>
      <c r="C17" s="29" t="n">
        <f aca="false">Inputs!C36/Inputs!$D$9</f>
        <v>6.25</v>
      </c>
      <c r="D17" s="29" t="n">
        <f aca="false">Inputs!D36/Inputs!$D$9</f>
        <v>4.16666666666667</v>
      </c>
      <c r="E17" s="29" t="n">
        <f aca="false">Inputs!E36/Inputs!$D$9</f>
        <v>2.08333333333333</v>
      </c>
      <c r="F17" s="29" t="n">
        <f aca="false">Inputs!D36/Inputs!$D$9</f>
        <v>4.16666666666667</v>
      </c>
    </row>
    <row r="18" customFormat="false" ht="15" hidden="false" customHeight="false" outlineLevel="0" collapsed="false">
      <c r="A18" s="27" t="s">
        <v>132</v>
      </c>
      <c r="B18" s="30" t="n">
        <f aca="false">SUM(B15:B17)</f>
        <v>192</v>
      </c>
      <c r="C18" s="30" t="n">
        <f aca="false">SUM(C15:C17)</f>
        <v>176.65</v>
      </c>
      <c r="D18" s="30" t="n">
        <f aca="false">SUM(D15:D17)</f>
        <v>139.706666666667</v>
      </c>
      <c r="E18" s="30" t="n">
        <f aca="false">SUM(E15:E17)</f>
        <v>95.2833333333333</v>
      </c>
      <c r="F18" s="30" t="n">
        <f aca="false">SUM(F15:F17)</f>
        <v>172.326666666667</v>
      </c>
    </row>
    <row r="19" customFormat="false" ht="15" hidden="false" customHeight="false" outlineLevel="0" collapsed="false">
      <c r="A19" s="10" t="s">
        <v>127</v>
      </c>
      <c r="B19" s="17" t="n">
        <v>0</v>
      </c>
      <c r="C19" s="17" t="n">
        <f aca="false">C18/$B$18-1</f>
        <v>-0.0799479166666667</v>
      </c>
      <c r="D19" s="17" t="n">
        <f aca="false">D18/$B$18-1</f>
        <v>-0.272361111111111</v>
      </c>
      <c r="E19" s="17" t="n">
        <f aca="false">E18/$B$18-1</f>
        <v>-0.503732638888889</v>
      </c>
      <c r="F19" s="17" t="n">
        <f aca="false">F18/$B$18-1</f>
        <v>-0.102465277777778</v>
      </c>
    </row>
    <row r="20" customFormat="false" ht="15" hidden="false" customHeight="false" outlineLevel="0" collapsed="false">
      <c r="A20" s="10" t="s">
        <v>133</v>
      </c>
      <c r="B20" s="31" t="n">
        <f aca="false">B18*Inputs!$D$9</f>
        <v>92160</v>
      </c>
      <c r="C20" s="31" t="n">
        <f aca="false">C18*Inputs!$D$9</f>
        <v>84792</v>
      </c>
      <c r="D20" s="31" t="n">
        <f aca="false">D18*Inputs!$D$9</f>
        <v>67059.2</v>
      </c>
      <c r="E20" s="31" t="n">
        <f aca="false">E18*Inputs!$D$9</f>
        <v>45736</v>
      </c>
      <c r="F20" s="31" t="n">
        <f aca="false">F18*Inputs!$D$9</f>
        <v>82716.8</v>
      </c>
    </row>
    <row r="21" customFormat="false" ht="15" hidden="false" customHeight="false" outlineLevel="0" collapsed="false">
      <c r="A21" s="8" t="s">
        <v>134</v>
      </c>
      <c r="B21" s="9"/>
      <c r="C21" s="9"/>
      <c r="D21" s="9"/>
      <c r="E21" s="9"/>
      <c r="F21" s="9"/>
    </row>
    <row r="22" customFormat="false" ht="15" hidden="false" customHeight="false" outlineLevel="0" collapsed="false">
      <c r="A22" s="10" t="s">
        <v>135</v>
      </c>
      <c r="B22" s="18"/>
      <c r="C22" s="18" t="n">
        <f aca="false">$B$12-C12</f>
        <v>0.41</v>
      </c>
      <c r="D22" s="18" t="n">
        <f aca="false">$B$12-D12</f>
        <v>0.957666666666667</v>
      </c>
      <c r="E22" s="18" t="n">
        <f aca="false">$B$12-E12</f>
        <v>1.655</v>
      </c>
      <c r="F22" s="18" t="n">
        <f aca="false">$B$12-F12</f>
        <v>0.414</v>
      </c>
    </row>
    <row r="23" customFormat="false" ht="15" hidden="false" customHeight="false" outlineLevel="0" collapsed="false">
      <c r="A23" s="10" t="s">
        <v>136</v>
      </c>
      <c r="B23" s="12"/>
      <c r="C23" s="12" t="n">
        <f aca="false">C22*Inputs!$D$9</f>
        <v>196.8</v>
      </c>
      <c r="D23" s="12" t="n">
        <f aca="false">D22*Inputs!$D$9</f>
        <v>459.68</v>
      </c>
      <c r="E23" s="12" t="n">
        <f aca="false">E22*Inputs!$D$9</f>
        <v>794.4</v>
      </c>
      <c r="F23" s="12" t="n">
        <f aca="false">F22*Inputs!$D$9</f>
        <v>198.72</v>
      </c>
    </row>
    <row r="24" customFormat="false" ht="15" hidden="false" customHeight="false" outlineLevel="0" collapsed="false">
      <c r="A24" s="10" t="s">
        <v>137</v>
      </c>
      <c r="B24" s="31"/>
      <c r="C24" s="31" t="n">
        <f aca="false">($B$18-C18)*Inputs!$D$9</f>
        <v>7368</v>
      </c>
      <c r="D24" s="31" t="n">
        <f aca="false">($B$18-D18)*Inputs!$D$9</f>
        <v>25100.8</v>
      </c>
      <c r="E24" s="31" t="n">
        <f aca="false">($B$18-E18)*Inputs!$D$9</f>
        <v>46424</v>
      </c>
      <c r="F24" s="31" t="n">
        <f aca="false">($B$18-F18)*Inputs!$D$9</f>
        <v>9443.20000000001</v>
      </c>
    </row>
    <row r="25" customFormat="false" ht="15" hidden="false" customHeight="false" outlineLevel="0" collapsed="false">
      <c r="A25" s="10" t="s">
        <v>138</v>
      </c>
      <c r="B25" s="12"/>
      <c r="C25" s="12" t="n">
        <f aca="false">C23*Inputs!$D$12</f>
        <v>11808</v>
      </c>
      <c r="D25" s="12" t="n">
        <f aca="false">D23*Inputs!$D$12</f>
        <v>27580.8</v>
      </c>
      <c r="E25" s="12" t="n">
        <f aca="false">E23*Inputs!$D$12</f>
        <v>47664</v>
      </c>
      <c r="F25" s="12" t="n">
        <f aca="false">F23*Inputs!$D$12</f>
        <v>11923.2</v>
      </c>
    </row>
    <row r="26" customFormat="false" ht="15" hidden="false" customHeight="false" outlineLevel="0" collapsed="false">
      <c r="A26" s="10" t="s">
        <v>139</v>
      </c>
      <c r="B26" s="21"/>
      <c r="C26" s="21" t="n">
        <f aca="false">C25/Inputs!$D$11</f>
        <v>7.38</v>
      </c>
      <c r="D26" s="21" t="n">
        <f aca="false">D25/Inputs!$D$11</f>
        <v>17.238</v>
      </c>
      <c r="E26" s="21" t="n">
        <f aca="false">E25/Inputs!$D$11</f>
        <v>29.79</v>
      </c>
      <c r="F26" s="21" t="n">
        <f aca="false">F25/Inputs!$D$11</f>
        <v>7.452</v>
      </c>
    </row>
    <row r="27" customFormat="false" ht="15" hidden="false" customHeight="false" outlineLevel="0" collapsed="false">
      <c r="A27" s="10" t="s">
        <v>140</v>
      </c>
      <c r="B27" s="31"/>
      <c r="C27" s="31" t="n">
        <f aca="false">C24*Inputs!$D$12</f>
        <v>442080</v>
      </c>
      <c r="D27" s="31" t="n">
        <f aca="false">D24*Inputs!$D$12</f>
        <v>1506048</v>
      </c>
      <c r="E27" s="31" t="n">
        <f aca="false">E24*Inputs!$D$12</f>
        <v>2785440</v>
      </c>
      <c r="F27" s="31" t="n">
        <f aca="false">F24*Inputs!$D$12</f>
        <v>566592</v>
      </c>
    </row>
    <row r="28" customFormat="false" ht="15" hidden="false" customHeight="false" outlineLevel="0" collapsed="false">
      <c r="A28" s="10" t="s">
        <v>141</v>
      </c>
      <c r="B28" s="31"/>
      <c r="C28" s="31" t="n">
        <f aca="false">Inputs!C37</f>
        <v>2000000</v>
      </c>
      <c r="D28" s="31" t="n">
        <f aca="false">Inputs!D37</f>
        <v>1200000</v>
      </c>
      <c r="E28" s="31" t="n">
        <f aca="false">Inputs!E37</f>
        <v>900000</v>
      </c>
      <c r="F28" s="31" t="s">
        <v>142</v>
      </c>
    </row>
    <row r="29" customFormat="false" ht="15" hidden="false" customHeight="false" outlineLevel="0" collapsed="false">
      <c r="A29" s="10" t="s">
        <v>143</v>
      </c>
      <c r="B29" s="21"/>
      <c r="C29" s="21" t="n">
        <f aca="false">IF(C27&lt;=0,"n/a",C28/(C27/12))</f>
        <v>54.2888165038002</v>
      </c>
      <c r="D29" s="21" t="n">
        <f aca="false">IF(D27&lt;=0,"n/a",D28/(D27/12))</f>
        <v>9.56144824069352</v>
      </c>
      <c r="E29" s="21" t="n">
        <f aca="false">IF(E27&lt;=0,"n/a",E28/(E27/12))</f>
        <v>3.87730484232294</v>
      </c>
      <c r="F29" s="21" t="s">
        <v>142</v>
      </c>
    </row>
    <row r="30" customFormat="false" ht="15" hidden="false" customHeight="false" outlineLevel="0" collapsed="false">
      <c r="A30" s="8" t="s">
        <v>144</v>
      </c>
      <c r="B30" s="9"/>
      <c r="C30" s="9"/>
      <c r="D30" s="9"/>
      <c r="E30" s="9"/>
      <c r="F30" s="9"/>
    </row>
    <row r="31" customFormat="false" ht="15" hidden="false" customHeight="false" outlineLevel="0" collapsed="false">
      <c r="A31" s="10" t="s">
        <v>110</v>
      </c>
      <c r="B31" s="21" t="n">
        <f aca="false">Inputs!D21</f>
        <v>13</v>
      </c>
      <c r="C31" s="21" t="n">
        <f aca="false">Inputs!C39+Inputs!C40+Inputs!C41+Inputs!C42</f>
        <v>12</v>
      </c>
      <c r="D31" s="21" t="n">
        <f aca="false">Inputs!D39+Inputs!D40+Inputs!D41+Inputs!D42</f>
        <v>10</v>
      </c>
      <c r="E31" s="21" t="n">
        <f aca="false">Inputs!E39+Inputs!E40+Inputs!E41+Inputs!E42</f>
        <v>8</v>
      </c>
      <c r="F31" s="21" t="n">
        <f aca="false">Inputs!D52</f>
        <v>11</v>
      </c>
    </row>
    <row r="32" customFormat="false" ht="15" hidden="false" customHeight="false" outlineLevel="0" collapsed="false">
      <c r="A32" s="10" t="s">
        <v>112</v>
      </c>
      <c r="B32" s="21" t="n">
        <f aca="false">Inputs!D22</f>
        <v>15</v>
      </c>
      <c r="C32" s="21" t="n">
        <f aca="false">SUM(Inputs!C43:C47)</f>
        <v>10</v>
      </c>
      <c r="D32" s="21" t="n">
        <f aca="false">SUM(Inputs!D43:D47)</f>
        <v>8</v>
      </c>
      <c r="E32" s="21" t="n">
        <f aca="false">SUM(Inputs!E43:E47)</f>
        <v>6</v>
      </c>
      <c r="F32" s="21" t="n">
        <f aca="false">Inputs!D53</f>
        <v>15</v>
      </c>
    </row>
    <row r="33" customFormat="false" ht="15" hidden="false" customHeight="false" outlineLevel="0" collapsed="false">
      <c r="A33" s="27" t="s">
        <v>145</v>
      </c>
      <c r="B33" s="32" t="n">
        <f aca="false">B31+B32</f>
        <v>28</v>
      </c>
      <c r="C33" s="32" t="n">
        <f aca="false">C31+C32</f>
        <v>22</v>
      </c>
      <c r="D33" s="32" t="n">
        <f aca="false">D31+D32</f>
        <v>18</v>
      </c>
      <c r="E33" s="32" t="n">
        <f aca="false">E31+E32</f>
        <v>14</v>
      </c>
      <c r="F33" s="32" t="n">
        <f aca="false">F31+F32</f>
        <v>26</v>
      </c>
    </row>
    <row r="34" customFormat="false" ht="15" hidden="false" customHeight="false" outlineLevel="0" collapsed="false">
      <c r="A34" s="10" t="s">
        <v>127</v>
      </c>
      <c r="B34" s="17" t="n">
        <v>0</v>
      </c>
      <c r="C34" s="17" t="n">
        <f aca="false">C33/$B$33-1</f>
        <v>-0.214285714285714</v>
      </c>
      <c r="D34" s="17" t="n">
        <f aca="false">D33/$B$33-1</f>
        <v>-0.357142857142857</v>
      </c>
      <c r="E34" s="17" t="n">
        <f aca="false">E33/$B$33-1</f>
        <v>-0.5</v>
      </c>
      <c r="F34" s="17" t="n">
        <f aca="false">F33/$B$33-1</f>
        <v>-0.0714285714285714</v>
      </c>
    </row>
    <row r="35" customFormat="false" ht="15" hidden="false" customHeight="false" outlineLevel="0" collapsed="false">
      <c r="A35" s="10" t="s">
        <v>146</v>
      </c>
      <c r="B35" s="17" t="n">
        <f aca="false">B32/B33</f>
        <v>0.535714285714286</v>
      </c>
      <c r="C35" s="17" t="n">
        <f aca="false">C32/C33</f>
        <v>0.454545454545455</v>
      </c>
      <c r="D35" s="17" t="n">
        <f aca="false">D32/D33</f>
        <v>0.444444444444444</v>
      </c>
      <c r="E35" s="17" t="n">
        <f aca="false">E32/E33</f>
        <v>0.428571428571429</v>
      </c>
      <c r="F35" s="17" t="n">
        <f aca="false">F32/F33</f>
        <v>0.576923076923077</v>
      </c>
    </row>
    <row r="36" customFormat="false" ht="15" hidden="false" customHeight="false" outlineLevel="0" collapsed="false">
      <c r="A36" s="8" t="s">
        <v>147</v>
      </c>
      <c r="B36" s="9"/>
      <c r="C36" s="9"/>
      <c r="D36" s="9"/>
      <c r="E36" s="9"/>
      <c r="F36" s="9"/>
    </row>
    <row r="37" customFormat="false" ht="15" hidden="false" customHeight="false" outlineLevel="0" collapsed="false">
      <c r="A37" s="10" t="s">
        <v>148</v>
      </c>
      <c r="B37" s="18"/>
      <c r="C37" s="18" t="n">
        <f aca="false">$B$6-C6</f>
        <v>0.322</v>
      </c>
      <c r="D37" s="18" t="n">
        <f aca="false">$B$6-D6</f>
        <v>0.46</v>
      </c>
      <c r="E37" s="18" t="n">
        <f aca="false">$B$6-E6</f>
        <v>0.644</v>
      </c>
      <c r="F37" s="18" t="n">
        <f aca="false">$B$6-F6</f>
        <v>0.276</v>
      </c>
    </row>
    <row r="38" customFormat="false" ht="15" hidden="false" customHeight="false" outlineLevel="0" collapsed="false">
      <c r="A38" s="10" t="s">
        <v>149</v>
      </c>
      <c r="B38" s="18"/>
      <c r="C38" s="18" t="n">
        <f aca="false">$B$7-C7</f>
        <v>0.138</v>
      </c>
      <c r="D38" s="18" t="n">
        <f aca="false">$B$7-D7</f>
        <v>0.276</v>
      </c>
      <c r="E38" s="18" t="n">
        <f aca="false">$B$7-E7</f>
        <v>0.621</v>
      </c>
      <c r="F38" s="18" t="n">
        <f aca="false">$B$7-F7</f>
        <v>0.138</v>
      </c>
    </row>
    <row r="39" customFormat="false" ht="15" hidden="false" customHeight="false" outlineLevel="0" collapsed="false">
      <c r="A39" s="10" t="s">
        <v>150</v>
      </c>
      <c r="B39" s="18"/>
      <c r="C39" s="18" t="n">
        <f aca="false">$B$8-C8</f>
        <v>-0.03</v>
      </c>
      <c r="D39" s="18" t="n">
        <f aca="false">$B$8-D8</f>
        <v>0</v>
      </c>
      <c r="E39" s="18" t="n">
        <f aca="false">$B$8-E8</f>
        <v>0.03</v>
      </c>
      <c r="F39" s="18" t="n">
        <f aca="false">$B$8-F8</f>
        <v>0</v>
      </c>
    </row>
    <row r="40" customFormat="false" ht="15" hidden="false" customHeight="false" outlineLevel="0" collapsed="false">
      <c r="A40" s="10" t="s">
        <v>151</v>
      </c>
      <c r="B40" s="18"/>
      <c r="C40" s="18" t="n">
        <f aca="false">$B$9-C9</f>
        <v>0.15</v>
      </c>
      <c r="D40" s="18" t="n">
        <f aca="false">$B$9-D9</f>
        <v>0.33</v>
      </c>
      <c r="E40" s="18" t="n">
        <f aca="false">$B$9-E9</f>
        <v>0.42</v>
      </c>
      <c r="F40" s="18" t="n">
        <f aca="false">$B$9-F9</f>
        <v>0</v>
      </c>
    </row>
    <row r="41" customFormat="false" ht="15" hidden="false" customHeight="false" outlineLevel="0" collapsed="false">
      <c r="A41" s="10" t="s">
        <v>152</v>
      </c>
      <c r="B41" s="18"/>
      <c r="C41" s="18" t="n">
        <f aca="false">-(C10+C11)</f>
        <v>-0.17</v>
      </c>
      <c r="D41" s="18" t="n">
        <f aca="false">-(D10+D11)</f>
        <v>-0.108333333333333</v>
      </c>
      <c r="E41" s="18" t="n">
        <f aca="false">-(E10+E11)</f>
        <v>-0.06</v>
      </c>
      <c r="F41" s="18" t="n">
        <f aca="false">-(F10+F11)</f>
        <v>-0</v>
      </c>
    </row>
    <row r="42" customFormat="false" ht="15" hidden="false" customHeight="false" outlineLevel="0" collapsed="false">
      <c r="A42" s="27" t="s">
        <v>153</v>
      </c>
      <c r="B42" s="28"/>
      <c r="C42" s="28" t="n">
        <f aca="false">SUM(C37:C41)</f>
        <v>0.41</v>
      </c>
      <c r="D42" s="28" t="n">
        <f aca="false">SUM(D37:D41)</f>
        <v>0.957666666666667</v>
      </c>
      <c r="E42" s="28" t="n">
        <f aca="false">SUM(E37:E41)</f>
        <v>1.655</v>
      </c>
      <c r="F42" s="28" t="n">
        <f aca="false">SUM(F37:F41)</f>
        <v>0.414</v>
      </c>
    </row>
    <row r="43" customFormat="false" ht="15" hidden="false" customHeight="false" outlineLevel="0" collapsed="false">
      <c r="A43" s="10" t="s">
        <v>154</v>
      </c>
      <c r="B43" s="17"/>
      <c r="C43" s="17" t="n">
        <f aca="false">(C37+C38)/C42</f>
        <v>1.1219512195122</v>
      </c>
      <c r="D43" s="17" t="n">
        <f aca="false">(D37+D38)/D42</f>
        <v>0.768534632788027</v>
      </c>
      <c r="E43" s="17" t="n">
        <f aca="false">(E37+E38)/E42</f>
        <v>0.764350453172205</v>
      </c>
      <c r="F43" s="17" t="n">
        <f aca="false">(F37+F38)/F42</f>
        <v>1</v>
      </c>
    </row>
    <row r="44" customFormat="false" ht="15" hidden="false" customHeight="false" outlineLevel="0" collapsed="false">
      <c r="A44" s="10" t="s">
        <v>155</v>
      </c>
      <c r="B44" s="17"/>
      <c r="C44" s="17" t="n">
        <f aca="false">C40/C42</f>
        <v>0.365853658536585</v>
      </c>
      <c r="D44" s="17" t="n">
        <f aca="false">D40/D42</f>
        <v>0.344587539157675</v>
      </c>
      <c r="E44" s="17" t="n">
        <f aca="false">E40/E42</f>
        <v>0.253776435045317</v>
      </c>
      <c r="F44" s="17" t="n">
        <f aca="false">F40/F42</f>
        <v>0</v>
      </c>
    </row>
    <row r="45" customFormat="false" ht="15" hidden="false" customHeight="false" outlineLevel="0" collapsed="false">
      <c r="A45" s="8" t="s">
        <v>156</v>
      </c>
      <c r="B45" s="9"/>
      <c r="C45" s="9"/>
      <c r="D45" s="9"/>
      <c r="E45" s="9"/>
      <c r="F45" s="9"/>
    </row>
    <row r="46" customFormat="false" ht="15" hidden="false" customHeight="false" outlineLevel="0" collapsed="false">
      <c r="A46" s="10" t="s">
        <v>157</v>
      </c>
      <c r="B46" s="21"/>
      <c r="C46" s="21" t="n">
        <f aca="false">$B$32-C32</f>
        <v>5</v>
      </c>
      <c r="D46" s="21" t="n">
        <f aca="false">$B$32-D32</f>
        <v>7</v>
      </c>
      <c r="E46" s="21" t="n">
        <f aca="false">$B$32-E32</f>
        <v>9</v>
      </c>
      <c r="F46" s="21" t="n">
        <f aca="false">$B$32-F32</f>
        <v>0</v>
      </c>
    </row>
    <row r="47" customFormat="false" ht="15" hidden="false" customHeight="false" outlineLevel="0" collapsed="false">
      <c r="A47" s="10" t="s">
        <v>158</v>
      </c>
      <c r="B47" s="21"/>
      <c r="C47" s="21" t="n">
        <f aca="false">$B$31-C31</f>
        <v>1</v>
      </c>
      <c r="D47" s="21" t="n">
        <f aca="false">$B$31-D31</f>
        <v>3</v>
      </c>
      <c r="E47" s="21" t="n">
        <f aca="false">$B$31-E31</f>
        <v>5</v>
      </c>
      <c r="F47" s="21" t="n">
        <f aca="false">$B$31-F31</f>
        <v>2</v>
      </c>
    </row>
    <row r="48" customFormat="false" ht="15" hidden="false" customHeight="false" outlineLevel="0" collapsed="false">
      <c r="A48" s="10" t="s">
        <v>159</v>
      </c>
      <c r="B48" s="21"/>
      <c r="C48" s="21" t="n">
        <f aca="false">C46+C47</f>
        <v>6</v>
      </c>
      <c r="D48" s="21" t="n">
        <f aca="false">D46+D47</f>
        <v>10</v>
      </c>
      <c r="E48" s="21" t="n">
        <f aca="false">E46+E47</f>
        <v>14</v>
      </c>
      <c r="F48" s="21" t="n">
        <f aca="false">F46+F47</f>
        <v>2</v>
      </c>
    </row>
    <row r="49" customFormat="false" ht="15" hidden="false" customHeight="false" outlineLevel="0" collapsed="false">
      <c r="A49" s="10" t="s">
        <v>160</v>
      </c>
      <c r="B49" s="17"/>
      <c r="C49" s="17" t="n">
        <f aca="false">C46/C48</f>
        <v>0.833333333333333</v>
      </c>
      <c r="D49" s="17" t="n">
        <f aca="false">D46/D48</f>
        <v>0.7</v>
      </c>
      <c r="E49" s="17" t="n">
        <f aca="false">E46/E48</f>
        <v>0.642857142857143</v>
      </c>
      <c r="F49" s="17" t="n">
        <f aca="false">F46/F48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5" min="2" style="0" width="14"/>
    <col collapsed="false" customWidth="true" hidden="false" outlineLevel="0" max="6" min="6" style="0" width="20"/>
  </cols>
  <sheetData>
    <row r="1" customFormat="false" ht="16.15" hidden="false" customHeight="false" outlineLevel="0" collapsed="false">
      <c r="A1" s="4" t="s">
        <v>161</v>
      </c>
    </row>
    <row r="2" customFormat="false" ht="15" hidden="false" customHeight="false" outlineLevel="0" collapsed="false">
      <c r="A2" s="5" t="s">
        <v>162</v>
      </c>
    </row>
    <row r="4" customFormat="false" ht="30" hidden="false" customHeight="true" outlineLevel="0" collapsed="false">
      <c r="A4" s="6" t="s">
        <v>163</v>
      </c>
      <c r="B4" s="7" t="s">
        <v>117</v>
      </c>
      <c r="C4" s="7" t="s">
        <v>66</v>
      </c>
      <c r="D4" s="7" t="s">
        <v>67</v>
      </c>
      <c r="E4" s="7" t="s">
        <v>68</v>
      </c>
      <c r="F4" s="7" t="s">
        <v>164</v>
      </c>
    </row>
    <row r="5" customFormat="false" ht="15" hidden="false" customHeight="false" outlineLevel="0" collapsed="false">
      <c r="A5" s="10" t="s">
        <v>119</v>
      </c>
      <c r="B5" s="33" t="n">
        <f aca="false">Model!B12</f>
        <v>3.2</v>
      </c>
      <c r="C5" s="33" t="n">
        <f aca="false">Model!C12</f>
        <v>2.79</v>
      </c>
      <c r="D5" s="33" t="n">
        <f aca="false">Model!D12</f>
        <v>2.24233333333333</v>
      </c>
      <c r="E5" s="33" t="n">
        <f aca="false">Model!E12</f>
        <v>1.545</v>
      </c>
      <c r="F5" s="33" t="n">
        <f aca="false">Model!F12</f>
        <v>2.786</v>
      </c>
    </row>
    <row r="6" customFormat="false" ht="15" hidden="false" customHeight="false" outlineLevel="0" collapsed="false">
      <c r="A6" s="10" t="s">
        <v>165</v>
      </c>
      <c r="B6" s="34" t="n">
        <f aca="false">Model!B18</f>
        <v>192</v>
      </c>
      <c r="C6" s="34" t="n">
        <f aca="false">Model!C18</f>
        <v>176.65</v>
      </c>
      <c r="D6" s="34" t="n">
        <f aca="false">Model!D18</f>
        <v>139.706666666667</v>
      </c>
      <c r="E6" s="34" t="n">
        <f aca="false">Model!E18</f>
        <v>95.2833333333333</v>
      </c>
      <c r="F6" s="34" t="n">
        <f aca="false">Model!F18</f>
        <v>172.326666666667</v>
      </c>
    </row>
    <row r="7" customFormat="false" ht="15" hidden="false" customHeight="false" outlineLevel="0" collapsed="false">
      <c r="A7" s="10" t="s">
        <v>166</v>
      </c>
      <c r="B7" s="35" t="n">
        <f aca="false">Model!B19</f>
        <v>0</v>
      </c>
      <c r="C7" s="35" t="n">
        <f aca="false">Model!C19</f>
        <v>-0.0799479166666667</v>
      </c>
      <c r="D7" s="35" t="n">
        <f aca="false">Model!D19</f>
        <v>-0.272361111111111</v>
      </c>
      <c r="E7" s="35" t="n">
        <f aca="false">Model!E19</f>
        <v>-0.503732638888889</v>
      </c>
      <c r="F7" s="35" t="n">
        <f aca="false">Model!F19</f>
        <v>-0.102465277777778</v>
      </c>
    </row>
    <row r="8" customFormat="false" ht="15" hidden="false" customHeight="false" outlineLevel="0" collapsed="false">
      <c r="A8" s="10" t="s">
        <v>167</v>
      </c>
      <c r="B8" s="36" t="n">
        <f aca="false">Model!B33</f>
        <v>28</v>
      </c>
      <c r="C8" s="36" t="n">
        <f aca="false">Model!C33</f>
        <v>22</v>
      </c>
      <c r="D8" s="36" t="n">
        <f aca="false">Model!D33</f>
        <v>18</v>
      </c>
      <c r="E8" s="36" t="n">
        <f aca="false">Model!E33</f>
        <v>14</v>
      </c>
      <c r="F8" s="36" t="n">
        <f aca="false">Model!F33</f>
        <v>26</v>
      </c>
    </row>
    <row r="9" customFormat="false" ht="15" hidden="false" customHeight="false" outlineLevel="0" collapsed="false">
      <c r="A9" s="10" t="s">
        <v>168</v>
      </c>
      <c r="B9" s="35" t="n">
        <f aca="false">Model!B34</f>
        <v>0</v>
      </c>
      <c r="C9" s="35" t="n">
        <f aca="false">Model!C34</f>
        <v>-0.214285714285714</v>
      </c>
      <c r="D9" s="35" t="n">
        <f aca="false">Model!D34</f>
        <v>-0.357142857142857</v>
      </c>
      <c r="E9" s="35" t="n">
        <f aca="false">Model!E34</f>
        <v>-0.5</v>
      </c>
      <c r="F9" s="35" t="n">
        <f aca="false">Model!F34</f>
        <v>-0.0714285714285714</v>
      </c>
    </row>
    <row r="10" customFormat="false" ht="15" hidden="false" customHeight="false" outlineLevel="0" collapsed="false">
      <c r="A10" s="10" t="s">
        <v>112</v>
      </c>
      <c r="B10" s="36" t="n">
        <f aca="false">Model!B32</f>
        <v>15</v>
      </c>
      <c r="C10" s="36" t="n">
        <f aca="false">Model!C32</f>
        <v>10</v>
      </c>
      <c r="D10" s="36" t="n">
        <f aca="false">Model!D32</f>
        <v>8</v>
      </c>
      <c r="E10" s="36" t="n">
        <f aca="false">Model!E32</f>
        <v>6</v>
      </c>
      <c r="F10" s="36" t="n">
        <f aca="false">Model!F32</f>
        <v>15</v>
      </c>
    </row>
    <row r="11" customFormat="false" ht="15" hidden="false" customHeight="false" outlineLevel="0" collapsed="false">
      <c r="A11" s="10" t="s">
        <v>169</v>
      </c>
      <c r="B11" s="36" t="n">
        <f aca="false">Model!B26</f>
        <v>0</v>
      </c>
      <c r="C11" s="36" t="n">
        <f aca="false">Model!C26</f>
        <v>7.38</v>
      </c>
      <c r="D11" s="36" t="n">
        <f aca="false">Model!D26</f>
        <v>17.238</v>
      </c>
      <c r="E11" s="36" t="n">
        <f aca="false">Model!E26</f>
        <v>29.79</v>
      </c>
      <c r="F11" s="36" t="n">
        <f aca="false">Model!F26</f>
        <v>7.452</v>
      </c>
    </row>
    <row r="12" customFormat="false" ht="15" hidden="false" customHeight="false" outlineLevel="0" collapsed="false">
      <c r="A12" s="10" t="s">
        <v>140</v>
      </c>
      <c r="B12" s="37" t="n">
        <f aca="false">Model!B27</f>
        <v>0</v>
      </c>
      <c r="C12" s="37" t="n">
        <f aca="false">Model!C27</f>
        <v>442080</v>
      </c>
      <c r="D12" s="37" t="n">
        <f aca="false">Model!D27</f>
        <v>1506048</v>
      </c>
      <c r="E12" s="37" t="n">
        <f aca="false">Model!E27</f>
        <v>2785440</v>
      </c>
      <c r="F12" s="37" t="n">
        <f aca="false">Model!F27</f>
        <v>566592</v>
      </c>
    </row>
    <row r="13" customFormat="false" ht="15" hidden="false" customHeight="false" outlineLevel="0" collapsed="false">
      <c r="A13" s="10" t="s">
        <v>170</v>
      </c>
      <c r="B13" s="36" t="n">
        <f aca="false">Model!B29</f>
        <v>0</v>
      </c>
      <c r="C13" s="36" t="n">
        <f aca="false">Model!C29</f>
        <v>54.2888165038002</v>
      </c>
      <c r="D13" s="36" t="n">
        <f aca="false">Model!D29</f>
        <v>9.56144824069352</v>
      </c>
      <c r="E13" s="36" t="n">
        <f aca="false">Model!E29</f>
        <v>3.87730484232294</v>
      </c>
      <c r="F13" s="36" t="str">
        <f aca="false">Model!F29</f>
        <v>n/a</v>
      </c>
    </row>
    <row r="14" customFormat="false" ht="15" hidden="false" customHeight="false" outlineLevel="0" collapsed="false">
      <c r="A14" s="10" t="s">
        <v>171</v>
      </c>
      <c r="B14" s="35" t="n">
        <f aca="false">Model!B43</f>
        <v>0</v>
      </c>
      <c r="C14" s="35" t="n">
        <f aca="false">Model!C43</f>
        <v>1.1219512195122</v>
      </c>
      <c r="D14" s="35" t="n">
        <f aca="false">Model!D43</f>
        <v>0.768534632788027</v>
      </c>
      <c r="E14" s="35" t="n">
        <f aca="false">Model!E43</f>
        <v>0.764350453172205</v>
      </c>
      <c r="F14" s="35" t="n">
        <f aca="false">Model!F43</f>
        <v>1</v>
      </c>
    </row>
    <row r="15" customFormat="false" ht="15" hidden="false" customHeight="false" outlineLevel="0" collapsed="false">
      <c r="A15" s="10" t="s">
        <v>172</v>
      </c>
      <c r="B15" s="35" t="n">
        <f aca="false">Model!B44</f>
        <v>0</v>
      </c>
      <c r="C15" s="35" t="n">
        <f aca="false">Model!C44</f>
        <v>0.365853658536585</v>
      </c>
      <c r="D15" s="35" t="n">
        <f aca="false">Model!D44</f>
        <v>0.344587539157675</v>
      </c>
      <c r="E15" s="35" t="n">
        <f aca="false">Model!E44</f>
        <v>0.253776435045317</v>
      </c>
      <c r="F15" s="35" t="n">
        <f aca="false">Model!F44</f>
        <v>0</v>
      </c>
    </row>
    <row r="16" customFormat="false" ht="15" hidden="false" customHeight="false" outlineLevel="0" collapsed="false">
      <c r="A16" s="10" t="s">
        <v>160</v>
      </c>
      <c r="B16" s="35" t="n">
        <f aca="false">Model!B49</f>
        <v>0</v>
      </c>
      <c r="C16" s="35" t="n">
        <f aca="false">Model!C49</f>
        <v>0.833333333333333</v>
      </c>
      <c r="D16" s="35" t="n">
        <f aca="false">Model!D49</f>
        <v>0.7</v>
      </c>
      <c r="E16" s="35" t="n">
        <f aca="false">Model!E49</f>
        <v>0.642857142857143</v>
      </c>
      <c r="F16" s="35" t="n">
        <f aca="false">Model!F49</f>
        <v>0</v>
      </c>
    </row>
    <row r="18" customFormat="false" ht="15" hidden="false" customHeight="false" outlineLevel="0" collapsed="false">
      <c r="A18" s="10" t="s">
        <v>173</v>
      </c>
      <c r="E18" s="38" t="n">
        <f aca="false">Model!B33*(1-0.7)</f>
        <v>8.4</v>
      </c>
    </row>
    <row r="19" customFormat="false" ht="15" hidden="false" customHeight="false" outlineLevel="0" collapsed="false">
      <c r="A19" s="5"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0"/>
    <col collapsed="false" customWidth="true" hidden="false" outlineLevel="0" max="7" min="5" style="0" width="22"/>
    <col collapsed="false" customWidth="true" hidden="false" outlineLevel="0" max="8" min="8" style="0" width="16"/>
    <col collapsed="false" customWidth="true" hidden="false" outlineLevel="0" max="9" min="9" style="0" width="32"/>
    <col collapsed="false" customWidth="true" hidden="false" outlineLevel="0" max="10" min="10" style="0" width="12"/>
  </cols>
  <sheetData>
    <row r="1" customFormat="false" ht="16.15" hidden="false" customHeight="false" outlineLevel="0" collapsed="false">
      <c r="A1" s="4" t="s">
        <v>175</v>
      </c>
    </row>
    <row r="2" customFormat="false" ht="15" hidden="false" customHeight="false" outlineLevel="0" collapsed="false">
      <c r="A2" s="5" t="s">
        <v>176</v>
      </c>
    </row>
    <row r="4" customFormat="false" ht="15" hidden="false" customHeight="false" outlineLevel="0" collapsed="false">
      <c r="A4" s="8" t="s">
        <v>177</v>
      </c>
      <c r="B4" s="9"/>
      <c r="C4" s="9"/>
      <c r="D4" s="9"/>
      <c r="E4" s="9"/>
      <c r="F4" s="9"/>
      <c r="G4" s="9"/>
    </row>
    <row r="5" customFormat="false" ht="30" hidden="false" customHeight="true" outlineLevel="0" collapsed="false">
      <c r="A5" s="6" t="s">
        <v>178</v>
      </c>
      <c r="B5" s="7" t="s">
        <v>179</v>
      </c>
      <c r="C5" s="7" t="s">
        <v>180</v>
      </c>
      <c r="D5" s="7" t="s">
        <v>181</v>
      </c>
      <c r="E5" s="7" t="s">
        <v>182</v>
      </c>
      <c r="F5" s="7" t="s">
        <v>183</v>
      </c>
      <c r="G5" s="7" t="s">
        <v>184</v>
      </c>
    </row>
    <row r="6" customFormat="false" ht="15" hidden="false" customHeight="false" outlineLevel="0" collapsed="false">
      <c r="A6" s="10" t="s">
        <v>107</v>
      </c>
      <c r="B6" s="39" t="n">
        <f aca="false">Inputs!C27</f>
        <v>0.35</v>
      </c>
      <c r="C6" s="39" t="n">
        <f aca="false">Inputs!D27</f>
        <v>0.5</v>
      </c>
      <c r="D6" s="39" t="n">
        <f aca="false">Inputs!E27</f>
        <v>0.7</v>
      </c>
      <c r="E6" s="40" t="n">
        <f aca="false">1-((Inputs!$D$14*(1-Inputs!$C$27)+Inputs!$D$15*(1-Inputs!$D$28)+Inputs!$D$16*(1+Inputs!$D$29)+Inputs!$D$30*Inputs!$D$18+Inputs!$D$31*Inputs!$D$32+Inputs!$D$33/Inputs!$D$9)*Inputs!$D$10+Inputs!$D$35+Inputs!$D$36/Inputs!$D$9)/Model!$B$18</f>
        <v>0.229236111111111</v>
      </c>
      <c r="F6" s="40" t="n">
        <f aca="false">1-((Inputs!$D$14*(1-Inputs!$E$27)+Inputs!$D$15*(1-Inputs!$D$28)+Inputs!$D$16*(1+Inputs!$D$29)+Inputs!$D$30*Inputs!$D$18+Inputs!$D$31*Inputs!$D$32+Inputs!$D$33/Inputs!$D$9)*Inputs!$D$10+Inputs!$D$35+Inputs!$D$36/Inputs!$D$9)/Model!$B$18</f>
        <v>0.329861111111111</v>
      </c>
      <c r="G6" s="38" t="n">
        <f aca="false">(F6-E6)*100</f>
        <v>10.0625</v>
      </c>
    </row>
    <row r="7" customFormat="false" ht="15" hidden="false" customHeight="false" outlineLevel="0" collapsed="false">
      <c r="A7" s="10" t="s">
        <v>109</v>
      </c>
      <c r="B7" s="39" t="n">
        <f aca="false">Inputs!C28</f>
        <v>0.1</v>
      </c>
      <c r="C7" s="39" t="n">
        <f aca="false">Inputs!D28</f>
        <v>0.2</v>
      </c>
      <c r="D7" s="39" t="n">
        <f aca="false">Inputs!E28</f>
        <v>0.45</v>
      </c>
      <c r="E7" s="40" t="n">
        <f aca="false">1-((Inputs!$D$14*(1-Inputs!$D$27)+Inputs!$D$15*(1-Inputs!$C$28)+Inputs!$D$16*(1+Inputs!$D$29)+Inputs!$D$30*Inputs!$D$18+Inputs!$D$31*Inputs!$D$32+Inputs!$D$33/Inputs!$D$9)*Inputs!$D$10+Inputs!$D$35+Inputs!$D$36/Inputs!$D$9)/Model!$B$18</f>
        <v>0.229236111111111</v>
      </c>
      <c r="F7" s="40" t="n">
        <f aca="false">1-((Inputs!$D$14*(1-Inputs!$D$27)+Inputs!$D$15*(1-Inputs!$E$28)+Inputs!$D$16*(1+Inputs!$D$29)+Inputs!$D$30*Inputs!$D$18+Inputs!$D$31*Inputs!$D$32+Inputs!$D$33/Inputs!$D$9)*Inputs!$D$10+Inputs!$D$35+Inputs!$D$36/Inputs!$D$9)/Model!$B$18</f>
        <v>0.380173611111111</v>
      </c>
      <c r="G7" s="38" t="n">
        <f aca="false">(F7-E7)*100</f>
        <v>15.09375</v>
      </c>
    </row>
    <row r="8" customFormat="false" ht="15" hidden="false" customHeight="false" outlineLevel="0" collapsed="false">
      <c r="A8" s="10" t="s">
        <v>185</v>
      </c>
      <c r="B8" s="39" t="n">
        <f aca="false">Inputs!C29</f>
        <v>0.1</v>
      </c>
      <c r="C8" s="39" t="n">
        <f aca="false">Inputs!D29</f>
        <v>0</v>
      </c>
      <c r="D8" s="39" t="n">
        <f aca="false">Inputs!E29</f>
        <v>-0.1</v>
      </c>
      <c r="E8" s="40" t="n">
        <f aca="false">1-((Inputs!$D$14*(1-Inputs!$D$27)+Inputs!$D$15*(1-Inputs!$D$28)+Inputs!$D$16*(1+Inputs!$C$29)+Inputs!$D$30*Inputs!$D$18+Inputs!$D$31*Inputs!$D$32+Inputs!$D$33/Inputs!$D$9)*Inputs!$D$10+Inputs!$D$35+Inputs!$D$36/Inputs!$D$9)/Model!$B$18</f>
        <v>0.262986111111111</v>
      </c>
      <c r="F8" s="40" t="n">
        <f aca="false">1-((Inputs!$D$14*(1-Inputs!$D$27)+Inputs!$D$15*(1-Inputs!$D$28)+Inputs!$D$16*(1+Inputs!$E$29)+Inputs!$D$30*Inputs!$D$18+Inputs!$D$31*Inputs!$D$32+Inputs!$D$33/Inputs!$D$9)*Inputs!$D$10+Inputs!$D$35+Inputs!$D$36/Inputs!$D$9)/Model!$B$18</f>
        <v>0.281736111111111</v>
      </c>
      <c r="G8" s="38" t="n">
        <f aca="false">(F8-E8)*100</f>
        <v>1.87499999999998</v>
      </c>
    </row>
    <row r="9" customFormat="false" ht="15" hidden="false" customHeight="false" outlineLevel="0" collapsed="false">
      <c r="A9" s="10" t="s">
        <v>186</v>
      </c>
      <c r="B9" s="39" t="n">
        <f aca="false">Inputs!C30</f>
        <v>0.25</v>
      </c>
      <c r="C9" s="39" t="n">
        <f aca="false">Inputs!D30</f>
        <v>0.15</v>
      </c>
      <c r="D9" s="39" t="n">
        <f aca="false">Inputs!E30</f>
        <v>0.1</v>
      </c>
      <c r="E9" s="40" t="n">
        <f aca="false">1-((Inputs!$D$14*(1-Inputs!$D$27)+Inputs!$D$15*(1-Inputs!$D$28)+Inputs!$D$16*(1+Inputs!$D$29)+Inputs!$C$30*Inputs!$D$18+Inputs!$D$31*Inputs!$D$32+Inputs!$D$33/Inputs!$D$9)*Inputs!$D$10+Inputs!$D$35+Inputs!$D$36/Inputs!$D$9)/Model!$B$18</f>
        <v>0.216111111111111</v>
      </c>
      <c r="F9" s="40" t="n">
        <f aca="false">1-((Inputs!$D$14*(1-Inputs!$D$27)+Inputs!$D$15*(1-Inputs!$D$28)+Inputs!$D$16*(1+Inputs!$D$29)+Inputs!$E$30*Inputs!$D$18+Inputs!$D$31*Inputs!$D$32+Inputs!$D$33/Inputs!$D$9)*Inputs!$D$10+Inputs!$D$35+Inputs!$D$36/Inputs!$D$9)/Model!$B$18</f>
        <v>0.300486111111111</v>
      </c>
      <c r="G9" s="38" t="n">
        <f aca="false">(F9-E9)*100</f>
        <v>8.4375</v>
      </c>
    </row>
    <row r="10" customFormat="false" ht="15" hidden="false" customHeight="false" outlineLevel="0" collapsed="false">
      <c r="A10" s="10" t="s">
        <v>187</v>
      </c>
      <c r="B10" s="39" t="n">
        <f aca="false">Inputs!C31</f>
        <v>0.15</v>
      </c>
      <c r="C10" s="39" t="n">
        <f aca="false">Inputs!D31</f>
        <v>0.1</v>
      </c>
      <c r="D10" s="39" t="n">
        <f aca="false">Inputs!E31</f>
        <v>0.05</v>
      </c>
      <c r="E10" s="40" t="n">
        <f aca="false">1-((Inputs!$D$14*(1-Inputs!$D$27)+Inputs!$D$15*(1-Inputs!$D$28)+Inputs!$D$16*(1+Inputs!$D$29)+Inputs!$D$30*Inputs!$D$18+Inputs!$C$31*Inputs!$D$32+Inputs!$D$33/Inputs!$D$9)*Inputs!$D$10+Inputs!$D$35+Inputs!$D$36/Inputs!$D$9)/Model!$B$18</f>
        <v>0.268454861111111</v>
      </c>
      <c r="F10" s="40" t="n">
        <f aca="false">1-((Inputs!$D$14*(1-Inputs!$D$27)+Inputs!$D$15*(1-Inputs!$D$28)+Inputs!$D$16*(1+Inputs!$D$29)+Inputs!$D$30*Inputs!$D$18+Inputs!$E$31*Inputs!$D$32+Inputs!$D$33/Inputs!$D$9)*Inputs!$D$10+Inputs!$D$35+Inputs!$D$36/Inputs!$D$9)/Model!$B$18</f>
        <v>0.276267361111111</v>
      </c>
      <c r="G10" s="38" t="n">
        <f aca="false">(F10-E10)*100</f>
        <v>0.78125</v>
      </c>
    </row>
    <row r="11" customFormat="false" ht="15" hidden="false" customHeight="false" outlineLevel="0" collapsed="false">
      <c r="A11" s="10" t="s">
        <v>188</v>
      </c>
      <c r="B11" s="41" t="n">
        <f aca="false">Inputs!C32</f>
        <v>0.3</v>
      </c>
      <c r="C11" s="41" t="n">
        <f aca="false">Inputs!D32</f>
        <v>0.25</v>
      </c>
      <c r="D11" s="41" t="n">
        <f aca="false">Inputs!E32</f>
        <v>0.2</v>
      </c>
      <c r="E11" s="40" t="n">
        <f aca="false">1-((Inputs!$D$14*(1-Inputs!$D$27)+Inputs!$D$15*(1-Inputs!$D$28)+Inputs!$D$16*(1+Inputs!$D$29)+Inputs!$D$30*Inputs!$D$18+Inputs!$D$31*Inputs!$C$32+Inputs!$D$33/Inputs!$D$9)*Inputs!$D$10+Inputs!$D$35+Inputs!$D$36/Inputs!$D$9)/Model!$B$18</f>
        <v>0.270798611111111</v>
      </c>
      <c r="F11" s="40" t="n">
        <f aca="false">1-((Inputs!$D$14*(1-Inputs!$D$27)+Inputs!$D$15*(1-Inputs!$D$28)+Inputs!$D$16*(1+Inputs!$D$29)+Inputs!$D$30*Inputs!$D$18+Inputs!$D$31*Inputs!$E$32+Inputs!$D$33/Inputs!$D$9)*Inputs!$D$10+Inputs!$D$35+Inputs!$D$36/Inputs!$D$9)/Model!$B$18</f>
        <v>0.273923611111111</v>
      </c>
      <c r="G11" s="38" t="n">
        <f aca="false">(F11-E11)*100</f>
        <v>0.312499999999993</v>
      </c>
    </row>
    <row r="12" customFormat="false" ht="15" hidden="false" customHeight="false" outlineLevel="0" collapsed="false">
      <c r="A12" s="10" t="s">
        <v>189</v>
      </c>
      <c r="B12" s="42" t="n">
        <f aca="false">Inputs!C33</f>
        <v>60</v>
      </c>
      <c r="C12" s="42" t="n">
        <f aca="false">Inputs!D33</f>
        <v>40</v>
      </c>
      <c r="D12" s="42" t="n">
        <f aca="false">Inputs!E33</f>
        <v>24</v>
      </c>
      <c r="E12" s="40" t="n">
        <f aca="false">1-((Inputs!$D$14*(1-Inputs!$D$27)+Inputs!$D$15*(1-Inputs!$D$28)+Inputs!$D$16*(1+Inputs!$D$29)+Inputs!$D$30*Inputs!$D$18+Inputs!$D$31*Inputs!$D$32+Inputs!$C$33/Inputs!$D$9)*Inputs!$D$10+Inputs!$D$35+Inputs!$D$36/Inputs!$D$9)/Model!$B$18</f>
        <v>0.259340277777778</v>
      </c>
      <c r="F12" s="40" t="n">
        <f aca="false">1-((Inputs!$D$14*(1-Inputs!$D$27)+Inputs!$D$15*(1-Inputs!$D$28)+Inputs!$D$16*(1+Inputs!$D$29)+Inputs!$D$30*Inputs!$D$18+Inputs!$D$31*Inputs!$D$32+Inputs!$E$33/Inputs!$D$9)*Inputs!$D$10+Inputs!$D$35+Inputs!$D$36/Inputs!$D$9)/Model!$B$18</f>
        <v>0.282777777777778</v>
      </c>
      <c r="G12" s="38" t="n">
        <f aca="false">(F12-E12)*100</f>
        <v>2.34375000000001</v>
      </c>
    </row>
    <row r="13" customFormat="false" ht="15" hidden="false" customHeight="false" outlineLevel="0" collapsed="false">
      <c r="A13" s="10" t="s">
        <v>85</v>
      </c>
      <c r="B13" s="43" t="n">
        <f aca="false">Inputs!C35</f>
        <v>3</v>
      </c>
      <c r="C13" s="43" t="n">
        <f aca="false">Inputs!D35</f>
        <v>1</v>
      </c>
      <c r="D13" s="43" t="n">
        <f aca="false">Inputs!E35</f>
        <v>0.5</v>
      </c>
      <c r="E13" s="40" t="n">
        <f aca="false">1-((Inputs!$D$14*(1-Inputs!$D$27)+Inputs!$D$15*(1-Inputs!$D$28)+Inputs!$D$16*(1+Inputs!$D$29)+Inputs!$D$30*Inputs!$D$18+Inputs!$D$31*Inputs!$D$32+Inputs!$D$33/Inputs!$D$9)*Inputs!$D$10+Inputs!$C$35+Inputs!$D$36/Inputs!$D$9)/Model!$B$18</f>
        <v>0.261944444444445</v>
      </c>
      <c r="F13" s="40" t="n">
        <f aca="false">1-((Inputs!$D$14*(1-Inputs!$D$27)+Inputs!$D$15*(1-Inputs!$D$28)+Inputs!$D$16*(1+Inputs!$D$29)+Inputs!$D$30*Inputs!$D$18+Inputs!$D$31*Inputs!$D$32+Inputs!$D$33/Inputs!$D$9)*Inputs!$D$10+Inputs!$E$35+Inputs!$D$36/Inputs!$D$9)/Model!$B$18</f>
        <v>0.274965277777778</v>
      </c>
      <c r="G13" s="38" t="n">
        <f aca="false">(F13-E13)*100</f>
        <v>1.30208333333334</v>
      </c>
    </row>
    <row r="14" customFormat="false" ht="15" hidden="false" customHeight="false" outlineLevel="0" collapsed="false">
      <c r="A14" s="10" t="s">
        <v>190</v>
      </c>
      <c r="B14" s="44" t="n">
        <f aca="false">Inputs!C36</f>
        <v>3000</v>
      </c>
      <c r="C14" s="44" t="n">
        <f aca="false">Inputs!D36</f>
        <v>2000</v>
      </c>
      <c r="D14" s="44" t="n">
        <f aca="false">Inputs!E36</f>
        <v>1000</v>
      </c>
      <c r="E14" s="40" t="n">
        <f aca="false">1-((Inputs!$D$14*(1-Inputs!$D$27)+Inputs!$D$15*(1-Inputs!$D$28)+Inputs!$D$16*(1+Inputs!$D$29)+Inputs!$D$30*Inputs!$D$18+Inputs!$D$31*Inputs!$D$32+Inputs!$D$33/Inputs!$D$9)*Inputs!$D$10+Inputs!$D$35+Inputs!$C$36/Inputs!$D$9)/Model!$B$18</f>
        <v>0.261510416666667</v>
      </c>
      <c r="F14" s="40" t="n">
        <f aca="false">1-((Inputs!$D$14*(1-Inputs!$D$27)+Inputs!$D$15*(1-Inputs!$D$28)+Inputs!$D$16*(1+Inputs!$D$29)+Inputs!$D$30*Inputs!$D$18+Inputs!$D$31*Inputs!$D$32+Inputs!$D$33/Inputs!$D$9)*Inputs!$D$10+Inputs!$D$35+Inputs!$E$36/Inputs!$D$9)/Model!$B$18</f>
        <v>0.283211805555556</v>
      </c>
      <c r="G14" s="38" t="n">
        <f aca="false">(F14-E14)*100</f>
        <v>2.17013888888888</v>
      </c>
    </row>
    <row r="15" customFormat="false" ht="15" hidden="false" customHeight="false" outlineLevel="0" collapsed="false">
      <c r="A15" s="27" t="s">
        <v>191</v>
      </c>
      <c r="E15" s="45" t="n">
        <f aca="false">1-((Inputs!$D$14*(1-Inputs!$D$27)+Inputs!$D$15*(1-Inputs!$D$28)+Inputs!$D$16*(1+Inputs!$D$29)+Inputs!$D$30*Inputs!$D$18+Inputs!$D$31*Inputs!$D$32+Inputs!$D$33/Inputs!$D$9)*Inputs!$D$10+Inputs!$D$35+Inputs!$D$36/Inputs!$D$9)/Model!$B$18</f>
        <v>0.272361111111111</v>
      </c>
    </row>
    <row r="17" customFormat="false" ht="15" hidden="false" customHeight="false" outlineLevel="0" collapsed="false">
      <c r="A17" s="8" t="s">
        <v>192</v>
      </c>
      <c r="B17" s="9"/>
      <c r="C17" s="9"/>
      <c r="D17" s="9"/>
      <c r="E17" s="9"/>
      <c r="F17" s="9"/>
      <c r="G17" s="9"/>
    </row>
    <row r="18" customFormat="false" ht="30" hidden="false" customHeight="true" outlineLevel="0" collapsed="false">
      <c r="A18" s="6" t="s">
        <v>193</v>
      </c>
      <c r="B18" s="7" t="s">
        <v>194</v>
      </c>
      <c r="C18" s="7" t="s">
        <v>195</v>
      </c>
      <c r="D18" s="7" t="s">
        <v>196</v>
      </c>
      <c r="E18" s="7" t="s">
        <v>158</v>
      </c>
      <c r="F18" s="7" t="s">
        <v>159</v>
      </c>
      <c r="G18" s="7" t="s">
        <v>197</v>
      </c>
      <c r="H18" s="7" t="s">
        <v>198</v>
      </c>
      <c r="I18" s="27" t="s">
        <v>199</v>
      </c>
      <c r="J18" s="46" t="n">
        <f aca="false">1-Model!D32/Model!B32</f>
        <v>0.466666666666667</v>
      </c>
    </row>
    <row r="19" customFormat="false" ht="15" hidden="false" customHeight="false" outlineLevel="0" collapsed="false">
      <c r="A19" s="40" t="n">
        <f aca="false">Inputs!D22/Inputs!D23</f>
        <v>0.535714285714286</v>
      </c>
      <c r="B19" s="38" t="n">
        <f aca="false">A19*Inputs!$D$23</f>
        <v>15</v>
      </c>
      <c r="C19" s="38" t="n">
        <f aca="false">Inputs!$D$23-B19</f>
        <v>13</v>
      </c>
      <c r="D19" s="38" t="n">
        <f aca="false">B19*$J$18</f>
        <v>7</v>
      </c>
      <c r="E19" s="38" t="n">
        <f aca="false">C19*$J$19</f>
        <v>3</v>
      </c>
      <c r="F19" s="38" t="n">
        <f aca="false">D19+E19</f>
        <v>10</v>
      </c>
      <c r="G19" s="40" t="n">
        <f aca="false">F19/Inputs!$D$23</f>
        <v>0.357142857142857</v>
      </c>
      <c r="H19" s="40" t="n">
        <f aca="false">D19/F19</f>
        <v>0.7</v>
      </c>
      <c r="I19" s="27" t="s">
        <v>200</v>
      </c>
      <c r="J19" s="46" t="n">
        <f aca="false">1-Model!D31/Model!B31</f>
        <v>0.230769230769231</v>
      </c>
    </row>
    <row r="20" customFormat="false" ht="15" hidden="false" customHeight="false" outlineLevel="0" collapsed="false">
      <c r="A20" s="47" t="n">
        <v>0.45</v>
      </c>
      <c r="B20" s="38" t="n">
        <f aca="false">A20*Inputs!$D$23</f>
        <v>12.6</v>
      </c>
      <c r="C20" s="38" t="n">
        <f aca="false">Inputs!$D$23-B20</f>
        <v>15.4</v>
      </c>
      <c r="D20" s="38" t="n">
        <f aca="false">B20*$J$18</f>
        <v>5.88</v>
      </c>
      <c r="E20" s="38" t="n">
        <f aca="false">C20*$J$19</f>
        <v>3.55384615384615</v>
      </c>
      <c r="F20" s="38" t="n">
        <f aca="false">D20+E20</f>
        <v>9.43384615384615</v>
      </c>
      <c r="G20" s="40" t="n">
        <f aca="false">F20/Inputs!$D$23</f>
        <v>0.336923076923077</v>
      </c>
      <c r="H20" s="40" t="n">
        <f aca="false">D20/F20</f>
        <v>0.623287671232877</v>
      </c>
    </row>
    <row r="21" customFormat="false" ht="15" hidden="false" customHeight="false" outlineLevel="0" collapsed="false">
      <c r="A21" s="47" t="n">
        <v>0.35</v>
      </c>
      <c r="B21" s="38" t="n">
        <f aca="false">A21*Inputs!$D$23</f>
        <v>9.8</v>
      </c>
      <c r="C21" s="38" t="n">
        <f aca="false">Inputs!$D$23-B21</f>
        <v>18.2</v>
      </c>
      <c r="D21" s="38" t="n">
        <f aca="false">B21*$J$18</f>
        <v>4.57333333333333</v>
      </c>
      <c r="E21" s="38" t="n">
        <f aca="false">C21*$J$19</f>
        <v>4.2</v>
      </c>
      <c r="F21" s="38" t="n">
        <f aca="false">D21+E21</f>
        <v>8.77333333333333</v>
      </c>
      <c r="G21" s="40" t="n">
        <f aca="false">F21/Inputs!$D$23</f>
        <v>0.313333333333333</v>
      </c>
      <c r="H21" s="40" t="n">
        <f aca="false">D21/F21</f>
        <v>0.521276595744681</v>
      </c>
    </row>
    <row r="22" customFormat="false" ht="15" hidden="false" customHeight="false" outlineLevel="0" collapsed="false">
      <c r="A22" s="47" t="n">
        <v>0.27</v>
      </c>
      <c r="B22" s="38" t="n">
        <f aca="false">A22*Inputs!$D$23</f>
        <v>7.56</v>
      </c>
      <c r="C22" s="38" t="n">
        <f aca="false">Inputs!$D$23-B22</f>
        <v>20.44</v>
      </c>
      <c r="D22" s="38" t="n">
        <f aca="false">B22*$J$18</f>
        <v>3.528</v>
      </c>
      <c r="E22" s="38" t="n">
        <f aca="false">C22*$J$19</f>
        <v>4.71692307692308</v>
      </c>
      <c r="F22" s="38" t="n">
        <f aca="false">D22+E22</f>
        <v>8.24492307692308</v>
      </c>
      <c r="G22" s="40" t="n">
        <f aca="false">F22/Inputs!$D$23</f>
        <v>0.294461538461538</v>
      </c>
      <c r="H22" s="40" t="n">
        <f aca="false">D22/F22</f>
        <v>0.427899686520376</v>
      </c>
    </row>
    <row r="25" customFormat="false" ht="15" hidden="false" customHeight="false" outlineLevel="0" collapsed="false">
      <c r="A25" s="8" t="s">
        <v>201</v>
      </c>
      <c r="B25" s="9"/>
      <c r="C25" s="9"/>
      <c r="D25" s="9"/>
      <c r="E25" s="9"/>
      <c r="F25" s="9"/>
      <c r="G25" s="9"/>
    </row>
    <row r="26" customFormat="false" ht="42" hidden="false" customHeight="true" outlineLevel="0" collapsed="false">
      <c r="A26" s="6" t="s">
        <v>202</v>
      </c>
      <c r="B26" s="7" t="s">
        <v>203</v>
      </c>
      <c r="C26" s="7" t="s">
        <v>204</v>
      </c>
      <c r="D26" s="7" t="s">
        <v>205</v>
      </c>
      <c r="E26" s="7" t="s">
        <v>206</v>
      </c>
      <c r="F26" s="7" t="s">
        <v>207</v>
      </c>
      <c r="G26" s="7" t="s">
        <v>208</v>
      </c>
    </row>
    <row r="27" customFormat="false" ht="15" hidden="false" customHeight="false" outlineLevel="0" collapsed="false">
      <c r="A27" s="48" t="n">
        <v>10</v>
      </c>
      <c r="B27" s="49" t="n">
        <f aca="false">Model!C$24*$A27</f>
        <v>73680</v>
      </c>
      <c r="C27" s="49" t="n">
        <f aca="false">Model!D$24*$A27</f>
        <v>251008</v>
      </c>
      <c r="D27" s="49" t="n">
        <f aca="false">Model!E$24*$A27</f>
        <v>464240</v>
      </c>
      <c r="E27" s="50" t="n">
        <f aca="false">IF(B27&lt;=0,"n/a",Model!C$28/(B27/12))</f>
        <v>325.732899022801</v>
      </c>
      <c r="F27" s="50" t="n">
        <f aca="false">IF(C27&lt;=0,"n/a",Model!D$28/(C27/12))</f>
        <v>57.3686894441611</v>
      </c>
      <c r="G27" s="50" t="n">
        <f aca="false">IF(D27&lt;=0,"n/a",Model!E$28/(D27/12))</f>
        <v>23.2638290539376</v>
      </c>
    </row>
    <row r="28" customFormat="false" ht="15" hidden="false" customHeight="false" outlineLevel="0" collapsed="false">
      <c r="A28" s="48" t="n">
        <v>20</v>
      </c>
      <c r="B28" s="49" t="n">
        <f aca="false">Model!C$24*$A28</f>
        <v>147360</v>
      </c>
      <c r="C28" s="49" t="n">
        <f aca="false">Model!D$24*$A28</f>
        <v>502016</v>
      </c>
      <c r="D28" s="49" t="n">
        <f aca="false">Model!E$24*$A28</f>
        <v>928480</v>
      </c>
      <c r="E28" s="50" t="n">
        <f aca="false">IF(B28&lt;=0,"n/a",Model!C$28/(B28/12))</f>
        <v>162.866449511401</v>
      </c>
      <c r="F28" s="50" t="n">
        <f aca="false">IF(C28&lt;=0,"n/a",Model!D$28/(C28/12))</f>
        <v>28.6843447220806</v>
      </c>
      <c r="G28" s="50" t="n">
        <f aca="false">IF(D28&lt;=0,"n/a",Model!E$28/(D28/12))</f>
        <v>11.6319145269688</v>
      </c>
    </row>
    <row r="29" customFormat="false" ht="15" hidden="false" customHeight="false" outlineLevel="0" collapsed="false">
      <c r="A29" s="48" t="n">
        <v>40</v>
      </c>
      <c r="B29" s="49" t="n">
        <f aca="false">Model!C$24*$A29</f>
        <v>294720</v>
      </c>
      <c r="C29" s="49" t="n">
        <f aca="false">Model!D$24*$A29</f>
        <v>1004032</v>
      </c>
      <c r="D29" s="49" t="n">
        <f aca="false">Model!E$24*$A29</f>
        <v>1856960</v>
      </c>
      <c r="E29" s="50" t="n">
        <f aca="false">IF(B29&lt;=0,"n/a",Model!C$28/(B29/12))</f>
        <v>81.4332247557004</v>
      </c>
      <c r="F29" s="50" t="n">
        <f aca="false">IF(C29&lt;=0,"n/a",Model!D$28/(C29/12))</f>
        <v>14.3421723610403</v>
      </c>
      <c r="G29" s="50" t="n">
        <f aca="false">IF(D29&lt;=0,"n/a",Model!E$28/(D29/12))</f>
        <v>5.81595726348441</v>
      </c>
    </row>
    <row r="30" customFormat="false" ht="15" hidden="false" customHeight="false" outlineLevel="0" collapsed="false">
      <c r="A30" s="48" t="n">
        <v>60</v>
      </c>
      <c r="B30" s="49" t="n">
        <f aca="false">Model!C$24*$A30</f>
        <v>442080</v>
      </c>
      <c r="C30" s="49" t="n">
        <f aca="false">Model!D$24*$A30</f>
        <v>1506048</v>
      </c>
      <c r="D30" s="49" t="n">
        <f aca="false">Model!E$24*$A30</f>
        <v>2785440</v>
      </c>
      <c r="E30" s="50" t="n">
        <f aca="false">IF(B30&lt;=0,"n/a",Model!C$28/(B30/12))</f>
        <v>54.2888165038002</v>
      </c>
      <c r="F30" s="50" t="n">
        <f aca="false">IF(C30&lt;=0,"n/a",Model!D$28/(C30/12))</f>
        <v>9.56144824069352</v>
      </c>
      <c r="G30" s="50" t="n">
        <f aca="false">IF(D30&lt;=0,"n/a",Model!E$28/(D30/12))</f>
        <v>3.87730484232294</v>
      </c>
    </row>
    <row r="31" customFormat="false" ht="15" hidden="false" customHeight="false" outlineLevel="0" collapsed="false">
      <c r="A31" s="48" t="n">
        <v>100</v>
      </c>
      <c r="B31" s="49" t="n">
        <f aca="false">Model!C$24*$A31</f>
        <v>736800</v>
      </c>
      <c r="C31" s="49" t="n">
        <f aca="false">Model!D$24*$A31</f>
        <v>2510080</v>
      </c>
      <c r="D31" s="49" t="n">
        <f aca="false">Model!E$24*$A31</f>
        <v>4642400</v>
      </c>
      <c r="E31" s="50" t="n">
        <f aca="false">IF(B31&lt;=0,"n/a",Model!C$28/(B31/12))</f>
        <v>32.5732899022801</v>
      </c>
      <c r="F31" s="50" t="n">
        <f aca="false">IF(C31&lt;=0,"n/a",Model!D$28/(C31/12))</f>
        <v>5.73686894441611</v>
      </c>
      <c r="G31" s="50" t="n">
        <f aca="false">IF(D31&lt;=0,"n/a",Model!E$28/(D31/12))</f>
        <v>2.32638290539376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4"/>
    <col collapsed="false" customWidth="true" hidden="false" outlineLevel="0" max="2" min="2" style="0" width="16"/>
  </cols>
  <sheetData>
    <row r="1" customFormat="false" ht="16.15" hidden="false" customHeight="false" outlineLevel="0" collapsed="false">
      <c r="A1" s="4" t="s">
        <v>209</v>
      </c>
    </row>
    <row r="2" customFormat="false" ht="15" hidden="false" customHeight="false" outlineLevel="0" collapsed="false">
      <c r="A2" s="5" t="s">
        <v>210</v>
      </c>
    </row>
    <row r="4" customFormat="false" ht="15" hidden="false" customHeight="false" outlineLevel="0" collapsed="false">
      <c r="A4" s="6" t="s">
        <v>211</v>
      </c>
      <c r="B4" s="7" t="s">
        <v>212</v>
      </c>
    </row>
    <row r="5" customFormat="false" ht="15" hidden="false" customHeight="false" outlineLevel="0" collapsed="false">
      <c r="A5" s="10" t="s">
        <v>213</v>
      </c>
      <c r="B5" s="51" t="str">
        <f aca="false">IF(Inputs!D9=480,"OK","CHECK")</f>
        <v>OK</v>
      </c>
    </row>
    <row r="6" customFormat="false" ht="15" hidden="false" customHeight="false" outlineLevel="0" collapsed="false">
      <c r="A6" s="10" t="s">
        <v>214</v>
      </c>
      <c r="B6" s="51" t="str">
        <f aca="false">IF(ROUND(Model!B12,2)=3.2,"OK","CHECK")</f>
        <v>OK</v>
      </c>
    </row>
    <row r="7" customFormat="false" ht="15" hidden="false" customHeight="false" outlineLevel="0" collapsed="false">
      <c r="A7" s="10" t="s">
        <v>215</v>
      </c>
      <c r="B7" s="51" t="str">
        <f aca="false">IF(ROUND(Model!B15*Inputs!D9,0)=92160,"OK","CHECK")</f>
        <v>OK</v>
      </c>
    </row>
    <row r="8" customFormat="false" ht="15" hidden="false" customHeight="false" outlineLevel="0" collapsed="false">
      <c r="A8" s="10" t="s">
        <v>216</v>
      </c>
      <c r="B8" s="51" t="str">
        <f aca="false">IF(Model!B33=28,"OK","CHECK")</f>
        <v>OK</v>
      </c>
    </row>
    <row r="9" customFormat="false" ht="15" hidden="false" customHeight="false" outlineLevel="0" collapsed="false">
      <c r="A9" s="10" t="s">
        <v>217</v>
      </c>
      <c r="B9" s="51" t="str">
        <f aca="false">IF(Model!D33=18,"OK","CHECK")</f>
        <v>OK</v>
      </c>
    </row>
    <row r="10" customFormat="false" ht="15" hidden="false" customHeight="false" outlineLevel="0" collapsed="false">
      <c r="A10" s="10" t="s">
        <v>218</v>
      </c>
      <c r="B10" s="51" t="str">
        <f aca="false">IF(AND(ABS(Model!C42-Model!C22)&lt;0.000001,ABS(Model!D42-Model!D22)&lt;0.000001,ABS(Model!E42-Model!E22)&lt;0.000001,ABS(Model!F42-Model!F22)&lt;0.000001),"OK","CHECK")</f>
        <v>OK</v>
      </c>
    </row>
    <row r="11" customFormat="false" ht="15" hidden="false" customHeight="false" outlineLevel="0" collapsed="false">
      <c r="A11" s="10" t="s">
        <v>219</v>
      </c>
      <c r="B11" s="51" t="str">
        <f aca="false">IF(AND(ABS(Model!C48-(Model!B33-Model!C33))&lt;0.000001,ABS(Model!D48-(Model!B33-Model!D33))&lt;0.000001,ABS(Model!E48-(Model!B33-Model!E33))&lt;0.000001),"OK","CHECK")</f>
        <v>OK</v>
      </c>
    </row>
    <row r="12" customFormat="false" ht="15" hidden="false" customHeight="false" outlineLevel="0" collapsed="false">
      <c r="A12" s="10" t="s">
        <v>220</v>
      </c>
      <c r="B12" s="51" t="str">
        <f aca="false">IF(AND(Model!C19&gt;Model!D19,Model!D19&gt;Model!E19),"OK","CHECK")</f>
        <v>OK</v>
      </c>
    </row>
    <row r="13" customFormat="false" ht="15" hidden="false" customHeight="false" outlineLevel="0" collapsed="false">
      <c r="A13" s="10" t="s">
        <v>221</v>
      </c>
      <c r="B13" s="51" t="str">
        <f aca="false">IF(AND(Model!C33&gt;Model!D33,Model!D33&gt;Model!E33),"OK","CHECK")</f>
        <v>OK</v>
      </c>
    </row>
    <row r="14" customFormat="false" ht="15" hidden="false" customHeight="false" outlineLevel="0" collapsed="false">
      <c r="A14" s="10" t="s">
        <v>222</v>
      </c>
      <c r="B14" s="51" t="str">
        <f aca="false">IF(AND(Model!F19&gt;Model!D19,Model!F33&gt;Model!D33),"OK","CHECK")</f>
        <v>OK</v>
      </c>
    </row>
    <row r="15" customFormat="false" ht="15" hidden="false" customHeight="false" outlineLevel="0" collapsed="false">
      <c r="A15" s="10" t="s">
        <v>223</v>
      </c>
      <c r="B15" s="51" t="str">
        <f aca="false">IF(ABS(Sensitivity!F19-(Model!B33-Model!D33))&lt;0.000001,"OK","CHECK")</f>
        <v>OK</v>
      </c>
    </row>
    <row r="16" customFormat="false" ht="15" hidden="false" customHeight="false" outlineLevel="0" collapsed="false">
      <c r="A16" s="10" t="s">
        <v>224</v>
      </c>
      <c r="B16" s="51" t="str">
        <f aca="false">IF(ABS(Sensitivity!E15-(-Model!D19))&lt;0.000001,"OK","CHECK")</f>
        <v>OK</v>
      </c>
    </row>
    <row r="18" customFormat="false" ht="15" hidden="false" customHeight="false" outlineLevel="0" collapsed="false">
      <c r="A18" s="27" t="s">
        <v>225</v>
      </c>
      <c r="B18" s="27" t="str">
        <f aca="false">IF(COUNTIF(B5:B16,"OK")=12,"ALL OK","CHECK")</f>
        <v>ALL OK</v>
      </c>
    </row>
    <row r="20" customFormat="false" ht="15" hidden="false" customHeight="false" outlineLevel="0" collapsed="false">
      <c r="A20" s="10" t="s">
        <v>226</v>
      </c>
      <c r="B20" s="10" t="str">
        <f aca="false">IF(AND(-Model!D19&gt;=0.2,-Model!D19&lt;=0.3),"Inside","Outside")</f>
        <v>Inside</v>
      </c>
    </row>
    <row r="21" customFormat="false" ht="15" hidden="false" customHeight="false" outlineLevel="0" collapsed="false">
      <c r="A21" s="10" t="s">
        <v>227</v>
      </c>
      <c r="B21" s="10" t="str">
        <f aca="false">IF(AND(-Model!D34&gt;=0.3,-Model!D34&lt;=0.45),"Inside","Outside")</f>
        <v>Inside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0"/>
    <col collapsed="false" customWidth="true" hidden="false" outlineLevel="0" max="4" min="3" style="0" width="50"/>
  </cols>
  <sheetData>
    <row r="1" customFormat="false" ht="16.15" hidden="false" customHeight="false" outlineLevel="0" collapsed="false">
      <c r="A1" s="4" t="s">
        <v>228</v>
      </c>
    </row>
    <row r="3" customFormat="false" ht="15" hidden="false" customHeight="false" outlineLevel="0" collapsed="false">
      <c r="A3" s="6" t="s">
        <v>229</v>
      </c>
      <c r="B3" s="7" t="s">
        <v>230</v>
      </c>
      <c r="C3" s="7" t="s">
        <v>231</v>
      </c>
      <c r="D3" s="7" t="s">
        <v>232</v>
      </c>
    </row>
    <row r="4" customFormat="false" ht="45.75" hidden="false" customHeight="true" outlineLevel="0" collapsed="false">
      <c r="A4" s="3" t="n">
        <v>6</v>
      </c>
      <c r="B4" s="3" t="s">
        <v>233</v>
      </c>
      <c r="C4" s="3" t="s">
        <v>234</v>
      </c>
      <c r="D4" s="3" t="s">
        <v>235</v>
      </c>
    </row>
    <row r="5" customFormat="false" ht="45.75" hidden="false" customHeight="true" outlineLevel="0" collapsed="false">
      <c r="A5" s="3" t="n">
        <v>9</v>
      </c>
      <c r="B5" s="3" t="s">
        <v>236</v>
      </c>
      <c r="C5" s="3" t="s">
        <v>237</v>
      </c>
      <c r="D5" s="3" t="s">
        <v>238</v>
      </c>
    </row>
    <row r="6" customFormat="false" ht="45.75" hidden="false" customHeight="true" outlineLevel="0" collapsed="false">
      <c r="A6" s="3" t="n">
        <v>10</v>
      </c>
      <c r="B6" s="3" t="s">
        <v>239</v>
      </c>
      <c r="C6" s="3" t="s">
        <v>240</v>
      </c>
      <c r="D6" s="3" t="s">
        <v>241</v>
      </c>
    </row>
    <row r="7" customFormat="false" ht="45.75" hidden="false" customHeight="true" outlineLevel="0" collapsed="false">
      <c r="A7" s="3" t="n">
        <v>11</v>
      </c>
      <c r="B7" s="3" t="s">
        <v>242</v>
      </c>
      <c r="C7" s="3" t="s">
        <v>243</v>
      </c>
      <c r="D7" s="3" t="s">
        <v>244</v>
      </c>
    </row>
    <row r="8" customFormat="false" ht="45.75" hidden="false" customHeight="true" outlineLevel="0" collapsed="false">
      <c r="A8" s="3" t="n">
        <v>12</v>
      </c>
      <c r="B8" s="3" t="s">
        <v>245</v>
      </c>
      <c r="C8" s="3" t="s">
        <v>246</v>
      </c>
      <c r="D8" s="3" t="s">
        <v>247</v>
      </c>
    </row>
    <row r="9" customFormat="false" ht="45.75" hidden="false" customHeight="true" outlineLevel="0" collapsed="false">
      <c r="A9" s="3" t="s">
        <v>248</v>
      </c>
      <c r="B9" s="3" t="s">
        <v>249</v>
      </c>
      <c r="C9" s="3" t="s">
        <v>250</v>
      </c>
      <c r="D9" s="3" t="s">
        <v>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2026-10-21T17:17:36Z</dcterms:created>
  <dc:creator>openpyxl</dc:creator>
  <dc:description/>
  <dc:language>en-US</dc:language>
  <cp:lastModifiedBy/>
  <dcterms:modified xsi:type="dcterms:W3CDTF">2026-10-21T18:17:38Z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